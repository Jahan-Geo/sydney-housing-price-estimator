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Data" sheetId="2" state="visible" r:id="rId4"/>
    <sheet name="Progres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<sst xmlns="http://schemas.openxmlformats.org/spreadsheetml/2006/main" count="1155" uniqueCount="573">
  <si>
    <t xml:space="preserve">Sydney Housing Price Data Collection — Instructions</t>
  </si>
  <si>
    <t xml:space="preserve">SUBURBS TO COLLECT (30+ sold properties each, 100+ total):</t>
  </si>
  <si>
    <t xml:space="preserve">  1. Surry Hills   — inner-city, apartment-heavy</t>
  </si>
  <si>
    <t xml:space="preserve">  2. Strathfield   — middle-ring, mixed housing, train hub</t>
  </si>
  <si>
    <t xml:space="preserve">  3. Campbelltown  — outer, affordable, houses dominate</t>
  </si>
  <si>
    <t xml:space="preserve">WHERE TO COLLECT:</t>
  </si>
  <si>
    <t xml:space="preserve">  - domain.com.au  -&gt; search suburb -&gt; filter 'Sold' -&gt; last 12-24 months</t>
  </si>
  <si>
    <t xml:space="preserve">  - realestate.com.au -&gt; suburb page -&gt; 'Sold' tab</t>
  </si>
  <si>
    <t xml:space="preserve">HOW TO USE THIS WORKBOOK:</t>
  </si>
  <si>
    <t xml:space="preserve">  - Go to the 'Data' sheet.</t>
  </si>
  <si>
    <t xml:space="preserve">  - Row 3 (yellow highlight) is an EXAMPLE row showing expected format/values — do not delete it,</t>
  </si>
  <si>
    <t xml:space="preserve">    just use it as reference, then start entering real data from row 4 onward.</t>
  </si>
  <si>
    <t xml:space="preserve">  - Fill one row per property. Leave a cell blank (not '0' or 'N/A') if genuinely unknown —</t>
  </si>
  <si>
    <t xml:space="preserve">    we will handle missing data explicitly in the notebook.</t>
  </si>
  <si>
    <t xml:space="preserve">  - suburb_ring and distance_to_cbd_km are pre-filled by suburb using a formula — do not edit those columns.</t>
  </si>
  <si>
    <t xml:space="preserve">  - Use the dropdown in property_type for consistency.</t>
  </si>
  <si>
    <t xml:space="preserve">  - listing_description: paste the agent's marketing blurb (optional but recommended — used for text analysis).</t>
  </si>
  <si>
    <t xml:space="preserve">  - notes_anomaly: flag anything unusual (deceased estate, off-market, renovated, flood-affected, etc.)</t>
  </si>
  <si>
    <t xml:space="preserve">    — this will directly help Part 4 (investigating prediction failures) and Part 1 (bias discussion).</t>
  </si>
  <si>
    <t xml:space="preserve">TARGET: minimum 30 rows per suburb, 100+ rows total. More is better for model stability.</t>
  </si>
  <si>
    <t xml:space="preserve">DATA QUALITY TIPS:</t>
  </si>
  <si>
    <t xml:space="preserve">  - Skip listings with no disclosed sale price (many 'Contact Agent' listings hide price — skip them).</t>
  </si>
  <si>
    <t xml:space="preserve">  - Try to spread sale dates across the full 12-24 month window, not all from one month.</t>
  </si>
  <si>
    <t xml:space="preserve">  - Mix property types roughly matching each suburb's real market (Surry Hills = mostly units;</t>
  </si>
  <si>
    <t xml:space="preserve">    Campbelltown = mostly houses) rather than forcing an even split — this is realistic and you'll</t>
  </si>
  <si>
    <t xml:space="preserve">    discuss this imbalance in your report.</t>
  </si>
  <si>
    <t xml:space="preserve">property_id</t>
  </si>
  <si>
    <t xml:space="preserve">suburb</t>
  </si>
  <si>
    <t xml:space="preserve">suburb_ring</t>
  </si>
  <si>
    <t xml:space="preserve">address_street</t>
  </si>
  <si>
    <t xml:space="preserve">sale_price</t>
  </si>
  <si>
    <t xml:space="preserve">sale_date</t>
  </si>
  <si>
    <t xml:space="preserve">property_type</t>
  </si>
  <si>
    <t xml:space="preserve">bedrooms</t>
  </si>
  <si>
    <t xml:space="preserve">bathrooms</t>
  </si>
  <si>
    <t xml:space="preserve">car_spaces</t>
  </si>
  <si>
    <t xml:space="preserve">land_size_sqm</t>
  </si>
  <si>
    <t xml:space="preserve">floor_area_sqm</t>
  </si>
  <si>
    <t xml:space="preserve">distance_to_cbd_km</t>
  </si>
  <si>
    <t xml:space="preserve">year_built</t>
  </si>
  <si>
    <t xml:space="preserve">listing_description</t>
  </si>
  <si>
    <t xml:space="preserve">notes_anomaly</t>
  </si>
  <si>
    <t xml:space="preserve">source_url</t>
  </si>
  <si>
    <t xml:space="preserve">e.g. SH001</t>
  </si>
  <si>
    <t xml:space="preserve">must be Surry Hills / Strathfield / Campbelltown</t>
  </si>
  <si>
    <t xml:space="preserve">auto (formula)</t>
  </si>
  <si>
    <t xml:space="preserve">street name only, no unit/street number for privacy</t>
  </si>
  <si>
    <t xml:space="preserve">AUD, numeric only</t>
  </si>
  <si>
    <t xml:space="preserve">DD/MM/YYYY</t>
  </si>
  <si>
    <t xml:space="preserve">House/Unit/Townhouse</t>
  </si>
  <si>
    <t xml:space="preserve">count</t>
  </si>
  <si>
    <t xml:space="preserve">numeric, blank if apartment w/ no land</t>
  </si>
  <si>
    <t xml:space="preserve">numeric if available</t>
  </si>
  <si>
    <t xml:space="preserve">numeric, blank if unknown</t>
  </si>
  <si>
    <t xml:space="preserve">paste agent blurb (optional)</t>
  </si>
  <si>
    <t xml:space="preserve">flag anything unusual</t>
  </si>
  <si>
    <t xml:space="preserve">link to listing</t>
  </si>
  <si>
    <t xml:space="preserve">SH001</t>
  </si>
  <si>
    <t xml:space="preserve">Surry Hills</t>
  </si>
  <si>
    <t xml:space="preserve">Crown Street</t>
  </si>
  <si>
    <t xml:space="preserve">15/03/2025</t>
  </si>
  <si>
    <t xml:space="preserve">Unit</t>
  </si>
  <si>
    <t xml:space="preserve">Stylish two-bedroom apartment in the heart of Surry Hills, walking distance to Central Station and Oxford Street dining.</t>
  </si>
  <si>
    <t xml:space="preserve">Sold at auction, competitive bidding</t>
  </si>
  <si>
    <t xml:space="preserve">https://www.domain.com.au/example-listing</t>
  </si>
  <si>
    <t xml:space="preserve">107/117 Kippax Street</t>
  </si>
  <si>
    <t xml:space="preserve">12/08/2026</t>
  </si>
  <si>
    <t xml:space="preserve">Original type label: Studio</t>
  </si>
  <si>
    <t xml:space="preserve">SH002</t>
  </si>
  <si>
    <t xml:space="preserve">57/1-7 Pelican Street</t>
  </si>
  <si>
    <t xml:space="preserve">04/08/2026</t>
  </si>
  <si>
    <t xml:space="preserve">Original type label: Apartment</t>
  </si>
  <si>
    <t xml:space="preserve">SH003</t>
  </si>
  <si>
    <t xml:space="preserve">4/329-333 Crown Street</t>
  </si>
  <si>
    <t xml:space="preserve">23/07/2026</t>
  </si>
  <si>
    <t xml:space="preserve">SH004</t>
  </si>
  <si>
    <t xml:space="preserve">17/6 Poplar Street</t>
  </si>
  <si>
    <t xml:space="preserve">17/07/2026</t>
  </si>
  <si>
    <t xml:space="preserve">SH005</t>
  </si>
  <si>
    <t xml:space="preserve">53 Marshall Street</t>
  </si>
  <si>
    <t xml:space="preserve">27/06/2026</t>
  </si>
  <si>
    <t xml:space="preserve">House</t>
  </si>
  <si>
    <t xml:space="preserve">Original type label: House</t>
  </si>
  <si>
    <t xml:space="preserve">SH006</t>
  </si>
  <si>
    <t xml:space="preserve">1514/20 Pelican Street</t>
  </si>
  <si>
    <t xml:space="preserve">26/06/2026</t>
  </si>
  <si>
    <t xml:space="preserve">SH007</t>
  </si>
  <si>
    <t xml:space="preserve">105/425 Bourke Street</t>
  </si>
  <si>
    <t xml:space="preserve">24/06/2026</t>
  </si>
  <si>
    <t xml:space="preserve">SH008</t>
  </si>
  <si>
    <t xml:space="preserve">26/360 Bourke Street</t>
  </si>
  <si>
    <t xml:space="preserve">17/06/2026</t>
  </si>
  <si>
    <t xml:space="preserve">SH009</t>
  </si>
  <si>
    <t xml:space="preserve">17/47-49 Buckingham Street</t>
  </si>
  <si>
    <t xml:space="preserve">12/06/2026</t>
  </si>
  <si>
    <t xml:space="preserve">SH010</t>
  </si>
  <si>
    <t xml:space="preserve">42/56-60 Foster Street</t>
  </si>
  <si>
    <t xml:space="preserve">06/06/2026</t>
  </si>
  <si>
    <t xml:space="preserve">SH011</t>
  </si>
  <si>
    <t xml:space="preserve">129 Goodlet Street</t>
  </si>
  <si>
    <t xml:space="preserve">03/06/2026</t>
  </si>
  <si>
    <t xml:space="preserve">SH012</t>
  </si>
  <si>
    <t xml:space="preserve">7/40-48 Ann Street</t>
  </si>
  <si>
    <t xml:space="preserve">02/06/2026</t>
  </si>
  <si>
    <t xml:space="preserve">SH013</t>
  </si>
  <si>
    <t xml:space="preserve">213/24-38 Bellevue Street</t>
  </si>
  <si>
    <t xml:space="preserve">26/05/2026</t>
  </si>
  <si>
    <t xml:space="preserve">SH014</t>
  </si>
  <si>
    <t xml:space="preserve">15/587-589 Riley Street</t>
  </si>
  <si>
    <t xml:space="preserve">23/05/2026</t>
  </si>
  <si>
    <t xml:space="preserve">SH015</t>
  </si>
  <si>
    <t xml:space="preserve">2/679-695 Bourke Street</t>
  </si>
  <si>
    <t xml:space="preserve">21/05/2026</t>
  </si>
  <si>
    <t xml:space="preserve">SH016</t>
  </si>
  <si>
    <t xml:space="preserve">34/300 Riley Street</t>
  </si>
  <si>
    <t xml:space="preserve">20/05/2026</t>
  </si>
  <si>
    <t xml:space="preserve">SH017</t>
  </si>
  <si>
    <t xml:space="preserve">121 Arthur Street</t>
  </si>
  <si>
    <t xml:space="preserve">15/05/2026</t>
  </si>
  <si>
    <t xml:space="preserve">SH018</t>
  </si>
  <si>
    <t xml:space="preserve">104/30 Nobbs Street</t>
  </si>
  <si>
    <t xml:space="preserve">SH019</t>
  </si>
  <si>
    <t xml:space="preserve">410/188 Chalmers Street</t>
  </si>
  <si>
    <t xml:space="preserve">08/05/2026</t>
  </si>
  <si>
    <t xml:space="preserve">SH020</t>
  </si>
  <si>
    <t xml:space="preserve">394 Cleveland Street</t>
  </si>
  <si>
    <t xml:space="preserve">16/04/2026</t>
  </si>
  <si>
    <t xml:space="preserve">SH021</t>
  </si>
  <si>
    <t xml:space="preserve">20/156-164 Chalmers Street</t>
  </si>
  <si>
    <t xml:space="preserve">14/04/2026</t>
  </si>
  <si>
    <t xml:space="preserve">SH022</t>
  </si>
  <si>
    <t xml:space="preserve">47/2 Goodlet Street</t>
  </si>
  <si>
    <t xml:space="preserve">09/04/2026</t>
  </si>
  <si>
    <t xml:space="preserve">SH023</t>
  </si>
  <si>
    <t xml:space="preserve">805/425-429 Bourke Street</t>
  </si>
  <si>
    <t xml:space="preserve">02/04/2026</t>
  </si>
  <si>
    <t xml:space="preserve">SH024</t>
  </si>
  <si>
    <t xml:space="preserve">86 Ann Street</t>
  </si>
  <si>
    <t xml:space="preserve">25/03/2026</t>
  </si>
  <si>
    <t xml:space="preserve">SH025</t>
  </si>
  <si>
    <t xml:space="preserve">556 Bourke Street</t>
  </si>
  <si>
    <t xml:space="preserve">20/03/2026</t>
  </si>
  <si>
    <t xml:space="preserve">Semi/Terrace</t>
  </si>
  <si>
    <t xml:space="preserve">Original type label: Terrace</t>
  </si>
  <si>
    <t xml:space="preserve">SH026</t>
  </si>
  <si>
    <t xml:space="preserve">42 Ridge Street</t>
  </si>
  <si>
    <t xml:space="preserve">19/03/2026</t>
  </si>
  <si>
    <t xml:space="preserve">SH027</t>
  </si>
  <si>
    <t xml:space="preserve">46 Smith Street</t>
  </si>
  <si>
    <t xml:space="preserve">18/03/2026</t>
  </si>
  <si>
    <t xml:space="preserve">SH028</t>
  </si>
  <si>
    <t xml:space="preserve">4/38 Chalmers Street</t>
  </si>
  <si>
    <t xml:space="preserve">12/03/2026</t>
  </si>
  <si>
    <t xml:space="preserve">SH029</t>
  </si>
  <si>
    <t xml:space="preserve">46 Adelaide Street</t>
  </si>
  <si>
    <t xml:space="preserve">10/03/2026</t>
  </si>
  <si>
    <t xml:space="preserve">SH030</t>
  </si>
  <si>
    <t xml:space="preserve">1010/508 Riley Street</t>
  </si>
  <si>
    <t xml:space="preserve">05/03/2026</t>
  </si>
  <si>
    <t xml:space="preserve">SH031</t>
  </si>
  <si>
    <t xml:space="preserve">602/1 Poplar Street</t>
  </si>
  <si>
    <t xml:space="preserve">27/02/2026</t>
  </si>
  <si>
    <t xml:space="preserve">SH032</t>
  </si>
  <si>
    <t xml:space="preserve">4 / 92-96 Albion Street</t>
  </si>
  <si>
    <t xml:space="preserve">25/02/2026</t>
  </si>
  <si>
    <t xml:space="preserve">SH033</t>
  </si>
  <si>
    <t xml:space="preserve">204/117 Kippax Street</t>
  </si>
  <si>
    <t xml:space="preserve">19/02/2026</t>
  </si>
  <si>
    <t xml:space="preserve">SH034</t>
  </si>
  <si>
    <t xml:space="preserve">9/33 Reservoir Street</t>
  </si>
  <si>
    <t xml:space="preserve">17/02/2026</t>
  </si>
  <si>
    <t xml:space="preserve">SH035</t>
  </si>
  <si>
    <t xml:space="preserve">32 Bennett Street</t>
  </si>
  <si>
    <t xml:space="preserve">14/02/2026</t>
  </si>
  <si>
    <t xml:space="preserve">SH036</t>
  </si>
  <si>
    <t xml:space="preserve">43/230 Elizabeth Street</t>
  </si>
  <si>
    <t xml:space="preserve">12/02/2026</t>
  </si>
  <si>
    <t xml:space="preserve">SH037</t>
  </si>
  <si>
    <t xml:space="preserve">30 Marshall Street</t>
  </si>
  <si>
    <t xml:space="preserve">06/02/2026</t>
  </si>
  <si>
    <t xml:space="preserve">SH038</t>
  </si>
  <si>
    <t xml:space="preserve">402/3 Butt Street</t>
  </si>
  <si>
    <t xml:space="preserve">SH039</t>
  </si>
  <si>
    <t xml:space="preserve">805/20 Pelican Street</t>
  </si>
  <si>
    <t xml:space="preserve">29/01/2026</t>
  </si>
  <si>
    <t xml:space="preserve">SH040</t>
  </si>
  <si>
    <t xml:space="preserve">455 Riley Street</t>
  </si>
  <si>
    <t xml:space="preserve">15/12/2025</t>
  </si>
  <si>
    <t xml:space="preserve">SH041</t>
  </si>
  <si>
    <t xml:space="preserve">56/13 Waine Street</t>
  </si>
  <si>
    <t xml:space="preserve">05/12/2025</t>
  </si>
  <si>
    <t xml:space="preserve">SH042</t>
  </si>
  <si>
    <t xml:space="preserve">209/81 Foveaux Street</t>
  </si>
  <si>
    <t xml:space="preserve">28/11/2025</t>
  </si>
  <si>
    <t xml:space="preserve">SH043</t>
  </si>
  <si>
    <t xml:space="preserve">201/24-38 Bellevue Street</t>
  </si>
  <si>
    <t xml:space="preserve">27/11/2025</t>
  </si>
  <si>
    <t xml:space="preserve">SH044</t>
  </si>
  <si>
    <t xml:space="preserve">26/168-172 Goulburn Street</t>
  </si>
  <si>
    <t xml:space="preserve">24/11/2025</t>
  </si>
  <si>
    <t xml:space="preserve">SH045</t>
  </si>
  <si>
    <t xml:space="preserve">415/105-113 Campbell Street</t>
  </si>
  <si>
    <t xml:space="preserve">20/11/2025</t>
  </si>
  <si>
    <t xml:space="preserve">SH046</t>
  </si>
  <si>
    <t xml:space="preserve">433 Crown Street</t>
  </si>
  <si>
    <t xml:space="preserve">18/11/2025</t>
  </si>
  <si>
    <t xml:space="preserve">Original type label: Duplex/semi-detached</t>
  </si>
  <si>
    <t xml:space="preserve">SH047</t>
  </si>
  <si>
    <t xml:space="preserve">78 Ann Street</t>
  </si>
  <si>
    <t xml:space="preserve">14/11/2025</t>
  </si>
  <si>
    <t xml:space="preserve">SH048</t>
  </si>
  <si>
    <t xml:space="preserve">23/360 Bourke Street</t>
  </si>
  <si>
    <t xml:space="preserve">SH049</t>
  </si>
  <si>
    <t xml:space="preserve">579 Riley Street</t>
  </si>
  <si>
    <t xml:space="preserve">11/11/2025</t>
  </si>
  <si>
    <t xml:space="preserve">SH050</t>
  </si>
  <si>
    <t xml:space="preserve">17 Marshall Street</t>
  </si>
  <si>
    <t xml:space="preserve">07/11/2025</t>
  </si>
  <si>
    <t xml:space="preserve">SH051</t>
  </si>
  <si>
    <t xml:space="preserve">17/265 Crown Street</t>
  </si>
  <si>
    <t xml:space="preserve">03/11/2025</t>
  </si>
  <si>
    <t xml:space="preserve">SH052</t>
  </si>
  <si>
    <t xml:space="preserve">24 Nichols Street</t>
  </si>
  <si>
    <t xml:space="preserve">29/10/2025</t>
  </si>
  <si>
    <t xml:space="preserve">SH053</t>
  </si>
  <si>
    <t xml:space="preserve">344 Crown Street</t>
  </si>
  <si>
    <t xml:space="preserve">24/10/2025</t>
  </si>
  <si>
    <t xml:space="preserve">SH054</t>
  </si>
  <si>
    <t xml:space="preserve">609/82-92 Cooper Street</t>
  </si>
  <si>
    <t xml:space="preserve">20/10/2025</t>
  </si>
  <si>
    <t xml:space="preserve">SH055</t>
  </si>
  <si>
    <t xml:space="preserve">32/343 Riley Street</t>
  </si>
  <si>
    <t xml:space="preserve">16/10/2025</t>
  </si>
  <si>
    <t xml:space="preserve">SH056</t>
  </si>
  <si>
    <t xml:space="preserve">41 Waterloo Street</t>
  </si>
  <si>
    <t xml:space="preserve">15/10/2025</t>
  </si>
  <si>
    <t xml:space="preserve">SH057</t>
  </si>
  <si>
    <t xml:space="preserve">38/446-458 Elizabeth Street</t>
  </si>
  <si>
    <t xml:space="preserve">14/10/2025</t>
  </si>
  <si>
    <t xml:space="preserve">SH058</t>
  </si>
  <si>
    <t xml:space="preserve">6/397-405 Bourke Street</t>
  </si>
  <si>
    <t xml:space="preserve">02/10/2025</t>
  </si>
  <si>
    <t xml:space="preserve">SH059</t>
  </si>
  <si>
    <t xml:space="preserve">49 Phelps Street</t>
  </si>
  <si>
    <t xml:space="preserve">30/09/2025</t>
  </si>
  <si>
    <t xml:space="preserve">SH060</t>
  </si>
  <si>
    <t xml:space="preserve">23/500 Crown Street</t>
  </si>
  <si>
    <t xml:space="preserve">27/09/2025</t>
  </si>
  <si>
    <t xml:space="preserve">ST001</t>
  </si>
  <si>
    <t xml:space="preserve">Strathfield</t>
  </si>
  <si>
    <t xml:space="preserve">18 Coventry Road</t>
  </si>
  <si>
    <t xml:space="preserve">14/08/2026</t>
  </si>
  <si>
    <t xml:space="preserve">ST002</t>
  </si>
  <si>
    <t xml:space="preserve">19 Wonga Street</t>
  </si>
  <si>
    <t xml:space="preserve">06/08/2026</t>
  </si>
  <si>
    <t xml:space="preserve">ST003</t>
  </si>
  <si>
    <t xml:space="preserve">11/55 Manson Road</t>
  </si>
  <si>
    <t xml:space="preserve">31/07/2026</t>
  </si>
  <si>
    <t xml:space="preserve">Townhouse</t>
  </si>
  <si>
    <t xml:space="preserve">Original type label: Townhouse</t>
  </si>
  <si>
    <t xml:space="preserve">ST004</t>
  </si>
  <si>
    <t xml:space="preserve">9 Birnam Grove</t>
  </si>
  <si>
    <t xml:space="preserve">30/07/2026</t>
  </si>
  <si>
    <t xml:space="preserve">ST005</t>
  </si>
  <si>
    <t xml:space="preserve">9 Hedges Avenue</t>
  </si>
  <si>
    <t xml:space="preserve">ST006</t>
  </si>
  <si>
    <t xml:space="preserve">88 Albyn Road</t>
  </si>
  <si>
    <t xml:space="preserve">16/07/2026</t>
  </si>
  <si>
    <t xml:space="preserve">ST007</t>
  </si>
  <si>
    <t xml:space="preserve">5 Gees Avenue</t>
  </si>
  <si>
    <t xml:space="preserve">ST008</t>
  </si>
  <si>
    <t xml:space="preserve">11F/30-34 Churchill Avenue</t>
  </si>
  <si>
    <t xml:space="preserve">ST009</t>
  </si>
  <si>
    <t xml:space="preserve">29 Gelling Avenue</t>
  </si>
  <si>
    <t xml:space="preserve">22/06/2026</t>
  </si>
  <si>
    <t xml:space="preserve">ST010</t>
  </si>
  <si>
    <t xml:space="preserve">11 Arthur Street</t>
  </si>
  <si>
    <t xml:space="preserve">16/06/2026</t>
  </si>
  <si>
    <t xml:space="preserve">ST011</t>
  </si>
  <si>
    <t xml:space="preserve">8 South Street</t>
  </si>
  <si>
    <t xml:space="preserve">13/06/2026</t>
  </si>
  <si>
    <t xml:space="preserve">ST012</t>
  </si>
  <si>
    <t xml:space="preserve">99 Mintaro Avenue</t>
  </si>
  <si>
    <t xml:space="preserve">ST013</t>
  </si>
  <si>
    <t xml:space="preserve">120  Wallis Avenue</t>
  </si>
  <si>
    <t xml:space="preserve">05/06/2026</t>
  </si>
  <si>
    <t xml:space="preserve">ST014</t>
  </si>
  <si>
    <t xml:space="preserve">6/10 Belleverde Avenue</t>
  </si>
  <si>
    <t xml:space="preserve">ST015</t>
  </si>
  <si>
    <t xml:space="preserve">56 Churchill Avenue</t>
  </si>
  <si>
    <t xml:space="preserve">ST016</t>
  </si>
  <si>
    <t xml:space="preserve">47 Newton Road</t>
  </si>
  <si>
    <t xml:space="preserve">16/05/2026</t>
  </si>
  <si>
    <t xml:space="preserve">ST017</t>
  </si>
  <si>
    <t xml:space="preserve">1/2-4 RUSSELL STREET</t>
  </si>
  <si>
    <t xml:space="preserve">ST018</t>
  </si>
  <si>
    <t xml:space="preserve">115 Albert Road</t>
  </si>
  <si>
    <t xml:space="preserve">09/05/2026</t>
  </si>
  <si>
    <t xml:space="preserve">ST019</t>
  </si>
  <si>
    <t xml:space="preserve">37/20-34 Albert Road</t>
  </si>
  <si>
    <t xml:space="preserve">ST020</t>
  </si>
  <si>
    <t xml:space="preserve">7-9 Willee Street</t>
  </si>
  <si>
    <t xml:space="preserve">05/05/2026</t>
  </si>
  <si>
    <t xml:space="preserve">ST021</t>
  </si>
  <si>
    <t xml:space="preserve">20A Willee Street</t>
  </si>
  <si>
    <t xml:space="preserve">04/05/2026</t>
  </si>
  <si>
    <t xml:space="preserve">ST022</t>
  </si>
  <si>
    <t xml:space="preserve">46 Wilson Street</t>
  </si>
  <si>
    <t xml:space="preserve">21/04/2026</t>
  </si>
  <si>
    <t xml:space="preserve">ST023</t>
  </si>
  <si>
    <t xml:space="preserve">34 Howard Street</t>
  </si>
  <si>
    <t xml:space="preserve">11/04/2026</t>
  </si>
  <si>
    <t xml:space="preserve">ST024</t>
  </si>
  <si>
    <t xml:space="preserve">31 Newton Road</t>
  </si>
  <si>
    <t xml:space="preserve">07/04/2026</t>
  </si>
  <si>
    <t xml:space="preserve">ST025</t>
  </si>
  <si>
    <t xml:space="preserve">16 MacArthur Avenue</t>
  </si>
  <si>
    <t xml:space="preserve">30/03/2026</t>
  </si>
  <si>
    <t xml:space="preserve">ST026</t>
  </si>
  <si>
    <t xml:space="preserve">8/1-3 Beresford Road</t>
  </si>
  <si>
    <t xml:space="preserve">26/03/2026</t>
  </si>
  <si>
    <t xml:space="preserve">ST027</t>
  </si>
  <si>
    <t xml:space="preserve">38 Rickard Road</t>
  </si>
  <si>
    <t xml:space="preserve">24/03/2026</t>
  </si>
  <si>
    <t xml:space="preserve">ST028</t>
  </si>
  <si>
    <t xml:space="preserve">17/4 Morwick St</t>
  </si>
  <si>
    <t xml:space="preserve">23/03/2026</t>
  </si>
  <si>
    <t xml:space="preserve">ST029</t>
  </si>
  <si>
    <t xml:space="preserve">802/23-25 Churchill Avenue</t>
  </si>
  <si>
    <t xml:space="preserve">21/03/2026</t>
  </si>
  <si>
    <t xml:space="preserve">ST030</t>
  </si>
  <si>
    <t xml:space="preserve">14/10-12 Parnell Street</t>
  </si>
  <si>
    <t xml:space="preserve">ST031</t>
  </si>
  <si>
    <t xml:space="preserve">1206/5 Albert Road</t>
  </si>
  <si>
    <t xml:space="preserve">ST032</t>
  </si>
  <si>
    <t xml:space="preserve">9 Albyn Road</t>
  </si>
  <si>
    <t xml:space="preserve">17/03/2026</t>
  </si>
  <si>
    <t xml:space="preserve">ST033</t>
  </si>
  <si>
    <t xml:space="preserve">59 South Street</t>
  </si>
  <si>
    <t xml:space="preserve">15/03/2026</t>
  </si>
  <si>
    <t xml:space="preserve">ST034</t>
  </si>
  <si>
    <t xml:space="preserve">5 Augusta Street</t>
  </si>
  <si>
    <t xml:space="preserve">ST035</t>
  </si>
  <si>
    <t xml:space="preserve">20/78-82 Albert Road</t>
  </si>
  <si>
    <t xml:space="preserve">ST036</t>
  </si>
  <si>
    <t xml:space="preserve">178/1-3 Beresford Road</t>
  </si>
  <si>
    <t xml:space="preserve">04/03/2026</t>
  </si>
  <si>
    <t xml:space="preserve">ST037</t>
  </si>
  <si>
    <t xml:space="preserve">177/1-3 Beresford Road</t>
  </si>
  <si>
    <t xml:space="preserve">Original type label: Unit</t>
  </si>
  <si>
    <t xml:space="preserve">ST038</t>
  </si>
  <si>
    <t xml:space="preserve">40 Broughton Road</t>
  </si>
  <si>
    <t xml:space="preserve">ST039</t>
  </si>
  <si>
    <t xml:space="preserve">11/78-82 ALBERT ROAD</t>
  </si>
  <si>
    <t xml:space="preserve">23/02/2026</t>
  </si>
  <si>
    <t xml:space="preserve">ST040</t>
  </si>
  <si>
    <t xml:space="preserve">19 Noble Avenue</t>
  </si>
  <si>
    <t xml:space="preserve">21/02/2026</t>
  </si>
  <si>
    <t xml:space="preserve">ST041</t>
  </si>
  <si>
    <t xml:space="preserve">16/84-86 Albert Road</t>
  </si>
  <si>
    <t xml:space="preserve">ST042</t>
  </si>
  <si>
    <t xml:space="preserve">1 Amaroo Avenue</t>
  </si>
  <si>
    <t xml:space="preserve">ST043</t>
  </si>
  <si>
    <t xml:space="preserve">51 South Street</t>
  </si>
  <si>
    <t xml:space="preserve">15/02/2026</t>
  </si>
  <si>
    <t xml:space="preserve">ST044</t>
  </si>
  <si>
    <t xml:space="preserve">189 Homebush Road</t>
  </si>
  <si>
    <t xml:space="preserve">13/02/2026</t>
  </si>
  <si>
    <t xml:space="preserve">ST045</t>
  </si>
  <si>
    <t xml:space="preserve">30 Marion Street</t>
  </si>
  <si>
    <t xml:space="preserve">11/02/2026</t>
  </si>
  <si>
    <t xml:space="preserve">ST046</t>
  </si>
  <si>
    <t xml:space="preserve">33/235 Homebush Road</t>
  </si>
  <si>
    <t xml:space="preserve">ST047</t>
  </si>
  <si>
    <t xml:space="preserve">62 Churchill Avenue</t>
  </si>
  <si>
    <t xml:space="preserve">04/02/2026</t>
  </si>
  <si>
    <t xml:space="preserve">ST048</t>
  </si>
  <si>
    <t xml:space="preserve">4 Cameron Street</t>
  </si>
  <si>
    <t xml:space="preserve">31/01/2026</t>
  </si>
  <si>
    <t xml:space="preserve">ST049</t>
  </si>
  <si>
    <t xml:space="preserve">100 Redmyre Road</t>
  </si>
  <si>
    <t xml:space="preserve">25/01/2026</t>
  </si>
  <si>
    <t xml:space="preserve">ST050</t>
  </si>
  <si>
    <t xml:space="preserve">14/1-3 Beresford Road</t>
  </si>
  <si>
    <t xml:space="preserve">29/12/2025</t>
  </si>
  <si>
    <t xml:space="preserve">ST051</t>
  </si>
  <si>
    <t xml:space="preserve">104B/18 Parramatta Road</t>
  </si>
  <si>
    <t xml:space="preserve">24/12/2025</t>
  </si>
  <si>
    <t xml:space="preserve">ST052</t>
  </si>
  <si>
    <t xml:space="preserve">55 Arthur Street</t>
  </si>
  <si>
    <t xml:space="preserve">20/12/2025</t>
  </si>
  <si>
    <t xml:space="preserve">ST053</t>
  </si>
  <si>
    <t xml:space="preserve">202/8 Parramatta Road</t>
  </si>
  <si>
    <t xml:space="preserve">19/12/2025</t>
  </si>
  <si>
    <t xml:space="preserve">ST054</t>
  </si>
  <si>
    <t xml:space="preserve">10/4 Parnell Street</t>
  </si>
  <si>
    <t xml:space="preserve">17/12/2025</t>
  </si>
  <si>
    <t xml:space="preserve">ST055</t>
  </si>
  <si>
    <t xml:space="preserve">12 Pemberton Street</t>
  </si>
  <si>
    <t xml:space="preserve">12/12/2025</t>
  </si>
  <si>
    <t xml:space="preserve">ST056</t>
  </si>
  <si>
    <t xml:space="preserve">3 Fitzgerald Crescent</t>
  </si>
  <si>
    <t xml:space="preserve">11/12/2025</t>
  </si>
  <si>
    <t xml:space="preserve">ST057</t>
  </si>
  <si>
    <t xml:space="preserve">14/12a Russell Street</t>
  </si>
  <si>
    <t xml:space="preserve">ST058</t>
  </si>
  <si>
    <t xml:space="preserve">1A Angel Road</t>
  </si>
  <si>
    <t xml:space="preserve">10/12/2025</t>
  </si>
  <si>
    <t xml:space="preserve">ST059</t>
  </si>
  <si>
    <t xml:space="preserve">18 Broughton Road</t>
  </si>
  <si>
    <t xml:space="preserve">08/12/2025</t>
  </si>
  <si>
    <t xml:space="preserve">ST060</t>
  </si>
  <si>
    <t xml:space="preserve">408A/18 Parramatta road</t>
  </si>
  <si>
    <t xml:space="preserve">02/12/2025</t>
  </si>
  <si>
    <t xml:space="preserve">CB001</t>
  </si>
  <si>
    <t xml:space="preserve">Campbelltown</t>
  </si>
  <si>
    <t xml:space="preserve">12 Valinda Crescent</t>
  </si>
  <si>
    <t xml:space="preserve">10/08/2026</t>
  </si>
  <si>
    <t xml:space="preserve">CB002</t>
  </si>
  <si>
    <t xml:space="preserve">88 Goldsmith Avenue</t>
  </si>
  <si>
    <t xml:space="preserve">24/07/2026</t>
  </si>
  <si>
    <t xml:space="preserve">CB003</t>
  </si>
  <si>
    <t xml:space="preserve">40 Waminda Avenue</t>
  </si>
  <si>
    <t xml:space="preserve">22/07/2026</t>
  </si>
  <si>
    <t xml:space="preserve">CB004</t>
  </si>
  <si>
    <t xml:space="preserve">149 A Dumaresq Street</t>
  </si>
  <si>
    <t xml:space="preserve">CB005</t>
  </si>
  <si>
    <t xml:space="preserve">2/9 Reddall Street</t>
  </si>
  <si>
    <t xml:space="preserve">12/07/2026</t>
  </si>
  <si>
    <t xml:space="preserve">CB006</t>
  </si>
  <si>
    <t xml:space="preserve">3/19 Stewart Street</t>
  </si>
  <si>
    <t xml:space="preserve">06/07/2026</t>
  </si>
  <si>
    <t xml:space="preserve">CB007</t>
  </si>
  <si>
    <t xml:space="preserve">29/3-9 Warby Street</t>
  </si>
  <si>
    <t xml:space="preserve">01/07/2026</t>
  </si>
  <si>
    <t xml:space="preserve">CB008</t>
  </si>
  <si>
    <t xml:space="preserve">61 Broughton Street</t>
  </si>
  <si>
    <t xml:space="preserve">19/06/2026</t>
  </si>
  <si>
    <t xml:space="preserve">CB009</t>
  </si>
  <si>
    <t xml:space="preserve">9 Yennora Street</t>
  </si>
  <si>
    <t xml:space="preserve">CB010</t>
  </si>
  <si>
    <t xml:space="preserve">5 Dan Street</t>
  </si>
  <si>
    <t xml:space="preserve">CB011</t>
  </si>
  <si>
    <t xml:space="preserve">47 Grandview Drive</t>
  </si>
  <si>
    <t xml:space="preserve">CB012</t>
  </si>
  <si>
    <t xml:space="preserve">132 Waminda Avenue</t>
  </si>
  <si>
    <t xml:space="preserve">09/06/2026</t>
  </si>
  <si>
    <t xml:space="preserve">CB013</t>
  </si>
  <si>
    <t xml:space="preserve">35 Canberra Crescent</t>
  </si>
  <si>
    <t xml:space="preserve">01/06/2026</t>
  </si>
  <si>
    <t xml:space="preserve">CB014</t>
  </si>
  <si>
    <t xml:space="preserve">401/15 King Street</t>
  </si>
  <si>
    <t xml:space="preserve">CB015</t>
  </si>
  <si>
    <t xml:space="preserve">14/3-9 Warby Street</t>
  </si>
  <si>
    <t xml:space="preserve">13/05/2026</t>
  </si>
  <si>
    <t xml:space="preserve">CB016</t>
  </si>
  <si>
    <t xml:space="preserve">51/47 Stowe Avenue</t>
  </si>
  <si>
    <t xml:space="preserve">CB017</t>
  </si>
  <si>
    <t xml:space="preserve">66 Macquarie Avenue</t>
  </si>
  <si>
    <t xml:space="preserve">06/05/2026</t>
  </si>
  <si>
    <t xml:space="preserve">CB018</t>
  </si>
  <si>
    <t xml:space="preserve">14 Brisbane Road</t>
  </si>
  <si>
    <t xml:space="preserve">CB019</t>
  </si>
  <si>
    <t xml:space="preserve">124 Goldsmith Avenue</t>
  </si>
  <si>
    <t xml:space="preserve">29/04/2026</t>
  </si>
  <si>
    <t xml:space="preserve">CB020</t>
  </si>
  <si>
    <t xml:space="preserve">4 Barwon Place</t>
  </si>
  <si>
    <t xml:space="preserve">24/04/2026</t>
  </si>
  <si>
    <t xml:space="preserve">CB021</t>
  </si>
  <si>
    <t xml:space="preserve">45 &amp; 45A Mahoney Drive</t>
  </si>
  <si>
    <t xml:space="preserve">31/03/2026</t>
  </si>
  <si>
    <t xml:space="preserve">CB022</t>
  </si>
  <si>
    <t xml:space="preserve">106 Poulton Terrace</t>
  </si>
  <si>
    <t xml:space="preserve">CB023</t>
  </si>
  <si>
    <t xml:space="preserve">66 Mulholland Avenue</t>
  </si>
  <si>
    <t xml:space="preserve">CB024</t>
  </si>
  <si>
    <t xml:space="preserve">3 &amp; 3A St Johns Road</t>
  </si>
  <si>
    <t xml:space="preserve">CB025</t>
  </si>
  <si>
    <t xml:space="preserve">122/3-17 Queen street</t>
  </si>
  <si>
    <t xml:space="preserve">CB026</t>
  </si>
  <si>
    <t xml:space="preserve">12 Grandview Drive</t>
  </si>
  <si>
    <t xml:space="preserve">13/03/2026</t>
  </si>
  <si>
    <t xml:space="preserve">CB027</t>
  </si>
  <si>
    <t xml:space="preserve">4/42-44 Cordeaux Street</t>
  </si>
  <si>
    <t xml:space="preserve">06/03/2026</t>
  </si>
  <si>
    <t xml:space="preserve">CB028</t>
  </si>
  <si>
    <t xml:space="preserve">31/41 Santana Road</t>
  </si>
  <si>
    <t xml:space="preserve">CB029</t>
  </si>
  <si>
    <t xml:space="preserve">17 Genty street</t>
  </si>
  <si>
    <t xml:space="preserve">18/02/2026</t>
  </si>
  <si>
    <t xml:space="preserve">CB030</t>
  </si>
  <si>
    <t xml:space="preserve">36/31-35 Chamberlain Street</t>
  </si>
  <si>
    <t xml:space="preserve">CB031</t>
  </si>
  <si>
    <t xml:space="preserve">8 Lilian Street</t>
  </si>
  <si>
    <t xml:space="preserve">CB032</t>
  </si>
  <si>
    <t xml:space="preserve">1204/8 Dumaresq Street</t>
  </si>
  <si>
    <t xml:space="preserve">CB033</t>
  </si>
  <si>
    <t xml:space="preserve">201/30-34 Chamberlain Street</t>
  </si>
  <si>
    <t xml:space="preserve">CB034</t>
  </si>
  <si>
    <t xml:space="preserve">49 Brisbane Road</t>
  </si>
  <si>
    <t xml:space="preserve">02/02/2026</t>
  </si>
  <si>
    <t xml:space="preserve">CB035</t>
  </si>
  <si>
    <t xml:space="preserve">11 Burns Road</t>
  </si>
  <si>
    <t xml:space="preserve">27/01/2026</t>
  </si>
  <si>
    <t xml:space="preserve">CB036</t>
  </si>
  <si>
    <t xml:space="preserve">11/3-9 Warby Street</t>
  </si>
  <si>
    <t xml:space="preserve">13/01/2026</t>
  </si>
  <si>
    <t xml:space="preserve">CB037</t>
  </si>
  <si>
    <t xml:space="preserve">12 Barwon Place</t>
  </si>
  <si>
    <t xml:space="preserve">23/12/2025</t>
  </si>
  <si>
    <t xml:space="preserve">CB038</t>
  </si>
  <si>
    <t xml:space="preserve">6 Mulholland Avenue</t>
  </si>
  <si>
    <t xml:space="preserve">22/12/2025</t>
  </si>
  <si>
    <t xml:space="preserve">CB039</t>
  </si>
  <si>
    <t xml:space="preserve">18 Stowe Avenue</t>
  </si>
  <si>
    <t xml:space="preserve">18/12/2025</t>
  </si>
  <si>
    <t xml:space="preserve">CB040</t>
  </si>
  <si>
    <t xml:space="preserve">6 Seddon Place</t>
  </si>
  <si>
    <t xml:space="preserve">16/12/2025</t>
  </si>
  <si>
    <t xml:space="preserve">CB041</t>
  </si>
  <si>
    <t xml:space="preserve">42 Austin Avenue</t>
  </si>
  <si>
    <t xml:space="preserve">CB042</t>
  </si>
  <si>
    <t xml:space="preserve">74 Raymond Avenue</t>
  </si>
  <si>
    <t xml:space="preserve">03/12/2025</t>
  </si>
  <si>
    <t xml:space="preserve">CB043</t>
  </si>
  <si>
    <t xml:space="preserve">6 Bairin Street</t>
  </si>
  <si>
    <t xml:space="preserve">CB044</t>
  </si>
  <si>
    <t xml:space="preserve">4 Meehan Place</t>
  </si>
  <si>
    <t xml:space="preserve">CB045</t>
  </si>
  <si>
    <t xml:space="preserve">25 Fairchild Road</t>
  </si>
  <si>
    <t xml:space="preserve">21/11/2025</t>
  </si>
  <si>
    <t xml:space="preserve">CB046</t>
  </si>
  <si>
    <t xml:space="preserve">17 Randolph Street</t>
  </si>
  <si>
    <t xml:space="preserve">CB047</t>
  </si>
  <si>
    <t xml:space="preserve">81/3-17 Queen Street</t>
  </si>
  <si>
    <t xml:space="preserve">13/11/2025</t>
  </si>
  <si>
    <t xml:space="preserve">CB048</t>
  </si>
  <si>
    <t xml:space="preserve">19 Gamble Street</t>
  </si>
  <si>
    <t xml:space="preserve">CB049</t>
  </si>
  <si>
    <t xml:space="preserve">1 Brisbane Road</t>
  </si>
  <si>
    <t xml:space="preserve">02/11/2025</t>
  </si>
  <si>
    <t xml:space="preserve">CB050</t>
  </si>
  <si>
    <t xml:space="preserve">12/20 Stewart Street</t>
  </si>
  <si>
    <t xml:space="preserve">27/10/2025</t>
  </si>
  <si>
    <t xml:space="preserve">Original type label: Villa</t>
  </si>
  <si>
    <t xml:space="preserve">CB051</t>
  </si>
  <si>
    <t xml:space="preserve">69 Allman Street</t>
  </si>
  <si>
    <t xml:space="preserve">25/10/2025</t>
  </si>
  <si>
    <t xml:space="preserve">CB052</t>
  </si>
  <si>
    <t xml:space="preserve">105/38-42 Chamberlain Street</t>
  </si>
  <si>
    <t xml:space="preserve">CB053</t>
  </si>
  <si>
    <t xml:space="preserve">4 Curie Road</t>
  </si>
  <si>
    <t xml:space="preserve">CB054</t>
  </si>
  <si>
    <t xml:space="preserve">14 Valley Road</t>
  </si>
  <si>
    <t xml:space="preserve">CB055</t>
  </si>
  <si>
    <t xml:space="preserve">59/12-20 Tyler Street</t>
  </si>
  <si>
    <t xml:space="preserve">CB056</t>
  </si>
  <si>
    <t xml:space="preserve">148 Lindesay Street</t>
  </si>
  <si>
    <t xml:space="preserve">09/10/2025</t>
  </si>
  <si>
    <t xml:space="preserve">CB057</t>
  </si>
  <si>
    <t xml:space="preserve">6/31-33 Condamine Street</t>
  </si>
  <si>
    <t xml:space="preserve">03/10/2025</t>
  </si>
  <si>
    <t xml:space="preserve">CB058</t>
  </si>
  <si>
    <t xml:space="preserve">9 Browning Avenue</t>
  </si>
  <si>
    <t xml:space="preserve">CB059</t>
  </si>
  <si>
    <t xml:space="preserve">67/2-10 Tyler Street</t>
  </si>
  <si>
    <t xml:space="preserve">CB060</t>
  </si>
  <si>
    <t xml:space="preserve">48 Paterson Street</t>
  </si>
  <si>
    <t xml:space="preserve">24/09/2025</t>
  </si>
  <si>
    <t xml:space="preserve">Suburb</t>
  </si>
  <si>
    <t xml:space="preserve">Rows collected</t>
  </si>
  <si>
    <t xml:space="preserve">Target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</si>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</sst>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#,##0"/>
    <numFmt numFmtId="167" formatCode="0.0"/>
    <numFmt numFmtId="168" formatCode="\$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4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3"/>
    </row>
    <row r="8" customFormat="false" ht="15" hidden="false" customHeight="true" outlineLevel="0" collapsed="false">
      <c r="A8" s="4" t="s">
        <v>5</v>
      </c>
    </row>
    <row r="9" customFormat="false" ht="15" hidden="false" customHeight="true" outlineLevel="0" collapsed="false">
      <c r="A9" s="3" t="s">
        <v>6</v>
      </c>
    </row>
    <row r="10" customFormat="false" ht="15" hidden="false" customHeight="true" outlineLevel="0" collapsed="false">
      <c r="A10" s="3" t="s">
        <v>7</v>
      </c>
    </row>
    <row r="11" customFormat="false" ht="15" hidden="false" customHeight="true" outlineLevel="0" collapsed="false">
      <c r="A11" s="3"/>
    </row>
    <row r="12" customFormat="false" ht="15" hidden="false" customHeight="true" outlineLevel="0" collapsed="false">
      <c r="A12" s="4" t="s">
        <v>8</v>
      </c>
    </row>
    <row r="13" customFormat="false" ht="15" hidden="false" customHeight="true" outlineLevel="0" collapsed="false">
      <c r="A13" s="3" t="s">
        <v>9</v>
      </c>
    </row>
    <row r="14" customFormat="false" ht="15" hidden="false" customHeight="true" outlineLevel="0" collapsed="false">
      <c r="A14" s="3" t="s">
        <v>10</v>
      </c>
    </row>
    <row r="15" customFormat="false" ht="15" hidden="false" customHeight="true" outlineLevel="0" collapsed="false">
      <c r="A15" s="3" t="s">
        <v>11</v>
      </c>
    </row>
    <row r="16" customFormat="false" ht="15" hidden="false" customHeight="true" outlineLevel="0" collapsed="false">
      <c r="A16" s="3" t="s">
        <v>12</v>
      </c>
    </row>
    <row r="17" customFormat="false" ht="15" hidden="false" customHeight="true" outlineLevel="0" collapsed="false">
      <c r="A17" s="3" t="s">
        <v>13</v>
      </c>
    </row>
    <row r="18" customFormat="false" ht="15" hidden="false" customHeight="true" outlineLevel="0" collapsed="false">
      <c r="A18" s="3" t="s">
        <v>14</v>
      </c>
    </row>
    <row r="19" customFormat="false" ht="15" hidden="false" customHeight="true" outlineLevel="0" collapsed="false">
      <c r="A19" s="3" t="s">
        <v>15</v>
      </c>
    </row>
    <row r="20" customFormat="false" ht="15" hidden="false" customHeight="true" outlineLevel="0" collapsed="false">
      <c r="A20" s="3" t="s">
        <v>16</v>
      </c>
    </row>
    <row r="21" customFormat="false" ht="15" hidden="false" customHeight="true" outlineLevel="0" collapsed="false">
      <c r="A21" s="3" t="s">
        <v>17</v>
      </c>
    </row>
    <row r="22" customFormat="false" ht="15" hidden="false" customHeight="true" outlineLevel="0" collapsed="false">
      <c r="A22" s="3" t="s">
        <v>18</v>
      </c>
    </row>
    <row r="23" customFormat="false" ht="15" hidden="false" customHeight="true" outlineLevel="0" collapsed="false">
      <c r="A23" s="3"/>
    </row>
    <row r="24" customFormat="false" ht="15" hidden="false" customHeight="true" outlineLevel="0" collapsed="false">
      <c r="A24" s="3" t="s">
        <v>19</v>
      </c>
    </row>
    <row r="25" customFormat="false" ht="15" hidden="false" customHeight="true" outlineLevel="0" collapsed="false">
      <c r="A25" s="3"/>
    </row>
    <row r="26" customFormat="false" ht="15" hidden="false" customHeight="true" outlineLevel="0" collapsed="false">
      <c r="A26" s="4" t="s">
        <v>20</v>
      </c>
    </row>
    <row r="27" customFormat="false" ht="15" hidden="false" customHeight="true" outlineLevel="0" collapsed="false">
      <c r="A27" s="3" t="s">
        <v>21</v>
      </c>
    </row>
    <row r="28" customFormat="false" ht="15" hidden="false" customHeight="true" outlineLevel="0" collapsed="false">
      <c r="A28" s="3" t="s">
        <v>22</v>
      </c>
    </row>
    <row r="29" customFormat="false" ht="15" hidden="false" customHeight="true" outlineLevel="0" collapsed="false">
      <c r="A29" s="3" t="s">
        <v>23</v>
      </c>
    </row>
    <row r="30" customFormat="false" ht="15" hidden="false" customHeight="true" outlineLevel="0" collapsed="false">
      <c r="A30" s="3" t="s">
        <v>24</v>
      </c>
    </row>
    <row r="31" customFormat="false" ht="15" hidden="false" customHeight="true" outlineLevel="0" collapsed="false">
      <c r="A31" s="3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26"/>
    <col collapsed="false" customWidth="true" hidden="false" outlineLevel="0" max="6" min="5" style="1" width="12"/>
    <col collapsed="false" customWidth="true" hidden="false" outlineLevel="0" max="7" min="7" style="1" width="14"/>
    <col collapsed="false" customWidth="true" hidden="false" outlineLevel="0" max="10" min="8" style="1" width="10"/>
    <col collapsed="false" customWidth="true" hidden="false" outlineLevel="0" max="12" min="11" style="1" width="13"/>
    <col collapsed="false" customWidth="true" hidden="false" outlineLevel="0" max="13" min="13" style="1" width="16"/>
    <col collapsed="false" customWidth="true" hidden="false" outlineLevel="0" max="14" min="14" style="1" width="11"/>
    <col collapsed="false" customWidth="true" hidden="false" outlineLevel="0" max="15" min="15" style="1" width="45"/>
    <col collapsed="false" customWidth="true" hidden="false" outlineLevel="0" max="17" min="16" style="1" width="30"/>
  </cols>
  <sheetData>
    <row r="1" customFormat="false" ht="30" hidden="false" customHeight="true" outlineLevel="0" collapsed="false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33</v>
      </c>
      <c r="I1" s="5" t="s">
        <v>34</v>
      </c>
      <c r="J1" s="5" t="s">
        <v>35</v>
      </c>
      <c r="K1" s="5" t="s">
        <v>36</v>
      </c>
      <c r="L1" s="5" t="s">
        <v>37</v>
      </c>
      <c r="M1" s="5" t="s">
        <v>38</v>
      </c>
      <c r="N1" s="5" t="s">
        <v>39</v>
      </c>
      <c r="O1" s="5" t="s">
        <v>40</v>
      </c>
      <c r="P1" s="5" t="s">
        <v>41</v>
      </c>
      <c r="Q1" s="5" t="s">
        <v>42</v>
      </c>
    </row>
    <row r="2" customFormat="false" ht="39.75" hidden="false" customHeight="true" outlineLevel="0" collapsed="false">
      <c r="A2" s="6" t="s">
        <v>43</v>
      </c>
      <c r="B2" s="6" t="s">
        <v>44</v>
      </c>
      <c r="C2" s="6" t="s">
        <v>45</v>
      </c>
      <c r="D2" s="6" t="s">
        <v>46</v>
      </c>
      <c r="E2" s="6" t="s">
        <v>47</v>
      </c>
      <c r="F2" s="6" t="s">
        <v>48</v>
      </c>
      <c r="G2" s="6" t="s">
        <v>49</v>
      </c>
      <c r="H2" s="6" t="s">
        <v>50</v>
      </c>
      <c r="I2" s="6" t="s">
        <v>50</v>
      </c>
      <c r="J2" s="6" t="s">
        <v>50</v>
      </c>
      <c r="K2" s="6" t="s">
        <v>51</v>
      </c>
      <c r="L2" s="6" t="s">
        <v>52</v>
      </c>
      <c r="M2" s="6" t="s">
        <v>45</v>
      </c>
      <c r="N2" s="6" t="s">
        <v>53</v>
      </c>
      <c r="O2" s="6" t="s">
        <v>54</v>
      </c>
      <c r="P2" s="6" t="s">
        <v>55</v>
      </c>
      <c r="Q2" s="6" t="s">
        <v>56</v>
      </c>
    </row>
    <row r="3" customFormat="false" ht="15" hidden="false" customHeight="true" outlineLevel="0" collapsed="false">
      <c r="A3" s="7" t="s">
        <v>57</v>
      </c>
      <c r="B3" s="7" t="s">
        <v>58</v>
      </c>
      <c r="C3" s="7" t="str">
        <f aca="false">IF(B3="Surry Hills","Inner",IF(B3="Strathfield","Middle",IF(B3="Campbelltown","Outer","")))</f>
        <v>Inner</v>
      </c>
      <c r="D3" s="7" t="s">
        <v>59</v>
      </c>
      <c r="E3" s="8" t="n">
        <v>1250000</v>
      </c>
      <c r="F3" s="7" t="s">
        <v>60</v>
      </c>
      <c r="G3" s="7" t="s">
        <v>61</v>
      </c>
      <c r="H3" s="7" t="n">
        <v>2</v>
      </c>
      <c r="I3" s="7" t="n">
        <v>1</v>
      </c>
      <c r="J3" s="7" t="n">
        <v>1</v>
      </c>
      <c r="K3" s="9"/>
      <c r="L3" s="9" t="n">
        <v>78</v>
      </c>
      <c r="M3" s="10" t="n">
        <f aca="false">IF(B3="Surry Hills",2.5,IF(B3="Strathfield",14,IF(B3="Campbelltown",54,"")))</f>
        <v>2.5</v>
      </c>
      <c r="N3" s="7" t="n">
        <v>2015</v>
      </c>
      <c r="O3" s="7" t="s">
        <v>62</v>
      </c>
      <c r="P3" s="7" t="s">
        <v>63</v>
      </c>
      <c r="Q3" s="7" t="s">
        <v>64</v>
      </c>
    </row>
    <row r="4" customFormat="false" ht="15" hidden="false" customHeight="true" outlineLevel="0" collapsed="false">
      <c r="A4" s="11" t="s">
        <v>57</v>
      </c>
      <c r="B4" s="11" t="s">
        <v>58</v>
      </c>
      <c r="C4" s="11" t="str">
        <f aca="false">IF(B4="Surry Hills","Inner",IF(B4="Strathfield","Middle",IF(B4="Campbelltown","Outer","")))</f>
        <v>Inner</v>
      </c>
      <c r="D4" s="11" t="s">
        <v>65</v>
      </c>
      <c r="E4" s="12" t="n">
        <v>750000</v>
      </c>
      <c r="F4" s="11" t="s">
        <v>66</v>
      </c>
      <c r="G4" s="11" t="s">
        <v>61</v>
      </c>
      <c r="H4" s="11" t="n">
        <v>1</v>
      </c>
      <c r="I4" s="11" t="n">
        <v>1</v>
      </c>
      <c r="J4" s="11"/>
      <c r="K4" s="13"/>
      <c r="L4" s="13" t="n">
        <v>48</v>
      </c>
      <c r="M4" s="14" t="n">
        <f aca="false">IF(B4="Surry Hills",2.5,IF(B4="Strathfield",14,IF(B4="Campbelltown",54,"")))</f>
        <v>2.5</v>
      </c>
      <c r="N4" s="11"/>
      <c r="O4" s="11"/>
      <c r="P4" s="11" t="s">
        <v>67</v>
      </c>
      <c r="Q4" s="11"/>
    </row>
    <row r="5" customFormat="false" ht="15" hidden="false" customHeight="true" outlineLevel="0" collapsed="false">
      <c r="A5" s="11" t="s">
        <v>68</v>
      </c>
      <c r="B5" s="11" t="s">
        <v>58</v>
      </c>
      <c r="C5" s="11" t="str">
        <f aca="false">IF(B5="Surry Hills","Inner",IF(B5="Strathfield","Middle",IF(B5="Campbelltown","Outer","")))</f>
        <v>Inner</v>
      </c>
      <c r="D5" s="11" t="s">
        <v>69</v>
      </c>
      <c r="E5" s="12" t="n">
        <v>710000</v>
      </c>
      <c r="F5" s="11" t="s">
        <v>70</v>
      </c>
      <c r="G5" s="11" t="s">
        <v>61</v>
      </c>
      <c r="H5" s="11" t="n">
        <v>1</v>
      </c>
      <c r="I5" s="11" t="n">
        <v>1</v>
      </c>
      <c r="J5" s="11"/>
      <c r="K5" s="13"/>
      <c r="L5" s="13" t="n">
        <v>60</v>
      </c>
      <c r="M5" s="14" t="n">
        <f aca="false">IF(B5="Surry Hills",2.5,IF(B5="Strathfield",14,IF(B5="Campbelltown",54,"")))</f>
        <v>2.5</v>
      </c>
      <c r="N5" s="11"/>
      <c r="O5" s="11"/>
      <c r="P5" s="11" t="s">
        <v>71</v>
      </c>
      <c r="Q5" s="11"/>
    </row>
    <row r="6" customFormat="false" ht="15" hidden="false" customHeight="true" outlineLevel="0" collapsed="false">
      <c r="A6" s="11" t="s">
        <v>72</v>
      </c>
      <c r="B6" s="11" t="s">
        <v>58</v>
      </c>
      <c r="C6" s="11" t="str">
        <f aca="false">IF(B6="Surry Hills","Inner",IF(B6="Strathfield","Middle",IF(B6="Campbelltown","Outer","")))</f>
        <v>Inner</v>
      </c>
      <c r="D6" s="11" t="s">
        <v>73</v>
      </c>
      <c r="E6" s="12" t="n">
        <v>1300000</v>
      </c>
      <c r="F6" s="11" t="s">
        <v>74</v>
      </c>
      <c r="G6" s="11" t="s">
        <v>61</v>
      </c>
      <c r="H6" s="11" t="n">
        <v>2</v>
      </c>
      <c r="I6" s="11" t="n">
        <v>1</v>
      </c>
      <c r="J6" s="11" t="n">
        <v>1</v>
      </c>
      <c r="K6" s="13"/>
      <c r="L6" s="13" t="n">
        <v>104</v>
      </c>
      <c r="M6" s="14" t="n">
        <f aca="false">IF(B6="Surry Hills",2.5,IF(B6="Strathfield",14,IF(B6="Campbelltown",54,"")))</f>
        <v>2.5</v>
      </c>
      <c r="N6" s="11"/>
      <c r="O6" s="11"/>
      <c r="P6" s="11" t="s">
        <v>71</v>
      </c>
      <c r="Q6" s="11"/>
    </row>
    <row r="7" customFormat="false" ht="15" hidden="false" customHeight="true" outlineLevel="0" collapsed="false">
      <c r="A7" s="11" t="s">
        <v>75</v>
      </c>
      <c r="B7" s="11" t="s">
        <v>58</v>
      </c>
      <c r="C7" s="11" t="str">
        <f aca="false">IF(B7="Surry Hills","Inner",IF(B7="Strathfield","Middle",IF(B7="Campbelltown","Outer","")))</f>
        <v>Inner</v>
      </c>
      <c r="D7" s="11" t="s">
        <v>76</v>
      </c>
      <c r="E7" s="12" t="n">
        <v>740000</v>
      </c>
      <c r="F7" s="11" t="s">
        <v>77</v>
      </c>
      <c r="G7" s="11" t="s">
        <v>61</v>
      </c>
      <c r="H7" s="11" t="n">
        <v>1</v>
      </c>
      <c r="I7" s="11" t="n">
        <v>1</v>
      </c>
      <c r="J7" s="11"/>
      <c r="K7" s="13"/>
      <c r="L7" s="13" t="n">
        <v>73</v>
      </c>
      <c r="M7" s="14" t="n">
        <f aca="false">IF(B7="Surry Hills",2.5,IF(B7="Strathfield",14,IF(B7="Campbelltown",54,"")))</f>
        <v>2.5</v>
      </c>
      <c r="N7" s="11"/>
      <c r="O7" s="11"/>
      <c r="P7" s="11" t="s">
        <v>71</v>
      </c>
      <c r="Q7" s="11"/>
    </row>
    <row r="8" customFormat="false" ht="15" hidden="false" customHeight="true" outlineLevel="0" collapsed="false">
      <c r="A8" s="11" t="s">
        <v>78</v>
      </c>
      <c r="B8" s="11" t="s">
        <v>58</v>
      </c>
      <c r="C8" s="11" t="str">
        <f aca="false">IF(B8="Surry Hills","Inner",IF(B8="Strathfield","Middle",IF(B8="Campbelltown","Outer","")))</f>
        <v>Inner</v>
      </c>
      <c r="D8" s="11" t="s">
        <v>79</v>
      </c>
      <c r="E8" s="12" t="n">
        <v>2310000</v>
      </c>
      <c r="F8" s="11" t="s">
        <v>80</v>
      </c>
      <c r="G8" s="11" t="s">
        <v>81</v>
      </c>
      <c r="H8" s="11" t="n">
        <v>2</v>
      </c>
      <c r="I8" s="11" t="n">
        <v>1</v>
      </c>
      <c r="J8" s="11"/>
      <c r="K8" s="13" t="n">
        <v>68</v>
      </c>
      <c r="L8" s="13"/>
      <c r="M8" s="14" t="n">
        <f aca="false">IF(B8="Surry Hills",2.5,IF(B8="Strathfield",14,IF(B8="Campbelltown",54,"")))</f>
        <v>2.5</v>
      </c>
      <c r="N8" s="11"/>
      <c r="O8" s="11"/>
      <c r="P8" s="11" t="s">
        <v>82</v>
      </c>
      <c r="Q8" s="11"/>
    </row>
    <row r="9" customFormat="false" ht="15" hidden="false" customHeight="true" outlineLevel="0" collapsed="false">
      <c r="A9" s="11" t="s">
        <v>83</v>
      </c>
      <c r="B9" s="11" t="s">
        <v>58</v>
      </c>
      <c r="C9" s="11" t="str">
        <f aca="false">IF(B9="Surry Hills","Inner",IF(B9="Strathfield","Middle",IF(B9="Campbelltown","Outer","")))</f>
        <v>Inner</v>
      </c>
      <c r="D9" s="11" t="s">
        <v>84</v>
      </c>
      <c r="E9" s="12" t="n">
        <v>2965000</v>
      </c>
      <c r="F9" s="11" t="s">
        <v>85</v>
      </c>
      <c r="G9" s="11" t="s">
        <v>61</v>
      </c>
      <c r="H9" s="11" t="n">
        <v>3</v>
      </c>
      <c r="I9" s="11" t="n">
        <v>2</v>
      </c>
      <c r="J9" s="11" t="n">
        <v>2</v>
      </c>
      <c r="K9" s="13"/>
      <c r="L9" s="13" t="n">
        <v>143</v>
      </c>
      <c r="M9" s="14" t="n">
        <f aca="false">IF(B9="Surry Hills",2.5,IF(B9="Strathfield",14,IF(B9="Campbelltown",54,"")))</f>
        <v>2.5</v>
      </c>
      <c r="N9" s="11"/>
      <c r="O9" s="11"/>
      <c r="P9" s="11" t="s">
        <v>71</v>
      </c>
      <c r="Q9" s="11"/>
    </row>
    <row r="10" customFormat="false" ht="15" hidden="false" customHeight="true" outlineLevel="0" collapsed="false">
      <c r="A10" s="11" t="s">
        <v>86</v>
      </c>
      <c r="B10" s="11" t="s">
        <v>58</v>
      </c>
      <c r="C10" s="11" t="str">
        <f aca="false">IF(B10="Surry Hills","Inner",IF(B10="Strathfield","Middle",IF(B10="Campbelltown","Outer","")))</f>
        <v>Inner</v>
      </c>
      <c r="D10" s="11" t="s">
        <v>87</v>
      </c>
      <c r="E10" s="12" t="n">
        <v>850000</v>
      </c>
      <c r="F10" s="11" t="s">
        <v>88</v>
      </c>
      <c r="G10" s="11" t="s">
        <v>61</v>
      </c>
      <c r="H10" s="11" t="n">
        <v>1</v>
      </c>
      <c r="I10" s="11" t="n">
        <v>1</v>
      </c>
      <c r="J10" s="11"/>
      <c r="K10" s="13"/>
      <c r="L10" s="13" t="n">
        <v>62</v>
      </c>
      <c r="M10" s="14" t="n">
        <f aca="false">IF(B10="Surry Hills",2.5,IF(B10="Strathfield",14,IF(B10="Campbelltown",54,"")))</f>
        <v>2.5</v>
      </c>
      <c r="N10" s="11"/>
      <c r="O10" s="11"/>
      <c r="P10" s="11" t="s">
        <v>71</v>
      </c>
      <c r="Q10" s="11"/>
    </row>
    <row r="11" customFormat="false" ht="15" hidden="false" customHeight="true" outlineLevel="0" collapsed="false">
      <c r="A11" s="11" t="s">
        <v>89</v>
      </c>
      <c r="B11" s="11" t="s">
        <v>58</v>
      </c>
      <c r="C11" s="11" t="str">
        <f aca="false">IF(B11="Surry Hills","Inner",IF(B11="Strathfield","Middle",IF(B11="Campbelltown","Outer","")))</f>
        <v>Inner</v>
      </c>
      <c r="D11" s="11" t="s">
        <v>90</v>
      </c>
      <c r="E11" s="12" t="n">
        <v>805000</v>
      </c>
      <c r="F11" s="11" t="s">
        <v>91</v>
      </c>
      <c r="G11" s="11" t="s">
        <v>61</v>
      </c>
      <c r="H11" s="11" t="n">
        <v>1</v>
      </c>
      <c r="I11" s="11" t="n">
        <v>1</v>
      </c>
      <c r="J11" s="11"/>
      <c r="K11" s="13"/>
      <c r="L11" s="13" t="n">
        <v>54</v>
      </c>
      <c r="M11" s="14" t="n">
        <f aca="false">IF(B11="Surry Hills",2.5,IF(B11="Strathfield",14,IF(B11="Campbelltown",54,"")))</f>
        <v>2.5</v>
      </c>
      <c r="N11" s="11"/>
      <c r="O11" s="11"/>
      <c r="P11" s="11" t="s">
        <v>71</v>
      </c>
      <c r="Q11" s="11"/>
    </row>
    <row r="12" customFormat="false" ht="15" hidden="false" customHeight="true" outlineLevel="0" collapsed="false">
      <c r="A12" s="11" t="s">
        <v>92</v>
      </c>
      <c r="B12" s="11" t="s">
        <v>58</v>
      </c>
      <c r="C12" s="11" t="str">
        <f aca="false">IF(B12="Surry Hills","Inner",IF(B12="Strathfield","Middle",IF(B12="Campbelltown","Outer","")))</f>
        <v>Inner</v>
      </c>
      <c r="D12" s="11" t="s">
        <v>93</v>
      </c>
      <c r="E12" s="12" t="n">
        <v>920000</v>
      </c>
      <c r="F12" s="11" t="s">
        <v>94</v>
      </c>
      <c r="G12" s="11" t="s">
        <v>61</v>
      </c>
      <c r="H12" s="11" t="n">
        <v>1</v>
      </c>
      <c r="I12" s="11" t="n">
        <v>1</v>
      </c>
      <c r="J12" s="11"/>
      <c r="K12" s="13"/>
      <c r="L12" s="13" t="n">
        <v>65</v>
      </c>
      <c r="M12" s="14" t="n">
        <f aca="false">IF(B12="Surry Hills",2.5,IF(B12="Strathfield",14,IF(B12="Campbelltown",54,"")))</f>
        <v>2.5</v>
      </c>
      <c r="N12" s="11"/>
      <c r="O12" s="11"/>
      <c r="P12" s="11" t="s">
        <v>71</v>
      </c>
      <c r="Q12" s="11"/>
    </row>
    <row r="13" customFormat="false" ht="15" hidden="false" customHeight="true" outlineLevel="0" collapsed="false">
      <c r="A13" s="11" t="s">
        <v>95</v>
      </c>
      <c r="B13" s="11" t="s">
        <v>58</v>
      </c>
      <c r="C13" s="11" t="str">
        <f aca="false">IF(B13="Surry Hills","Inner",IF(B13="Strathfield","Middle",IF(B13="Campbelltown","Outer","")))</f>
        <v>Inner</v>
      </c>
      <c r="D13" s="11" t="s">
        <v>96</v>
      </c>
      <c r="E13" s="12" t="n">
        <v>730000</v>
      </c>
      <c r="F13" s="11" t="s">
        <v>97</v>
      </c>
      <c r="G13" s="11" t="s">
        <v>61</v>
      </c>
      <c r="H13" s="11" t="n">
        <v>1</v>
      </c>
      <c r="I13" s="11" t="n">
        <v>1</v>
      </c>
      <c r="J13" s="11"/>
      <c r="K13" s="13"/>
      <c r="L13" s="13" t="n">
        <v>48</v>
      </c>
      <c r="M13" s="14" t="n">
        <f aca="false">IF(B13="Surry Hills",2.5,IF(B13="Strathfield",14,IF(B13="Campbelltown",54,"")))</f>
        <v>2.5</v>
      </c>
      <c r="N13" s="11"/>
      <c r="O13" s="11"/>
      <c r="P13" s="11" t="s">
        <v>71</v>
      </c>
      <c r="Q13" s="11"/>
    </row>
    <row r="14" customFormat="false" ht="15" hidden="false" customHeight="true" outlineLevel="0" collapsed="false">
      <c r="A14" s="11" t="s">
        <v>98</v>
      </c>
      <c r="B14" s="11" t="s">
        <v>58</v>
      </c>
      <c r="C14" s="11" t="str">
        <f aca="false">IF(B14="Surry Hills","Inner",IF(B14="Strathfield","Middle",IF(B14="Campbelltown","Outer","")))</f>
        <v>Inner</v>
      </c>
      <c r="D14" s="11" t="s">
        <v>99</v>
      </c>
      <c r="E14" s="12" t="n">
        <v>2140000</v>
      </c>
      <c r="F14" s="11" t="s">
        <v>100</v>
      </c>
      <c r="G14" s="11" t="s">
        <v>81</v>
      </c>
      <c r="H14" s="11" t="n">
        <v>3</v>
      </c>
      <c r="I14" s="11" t="n">
        <v>2</v>
      </c>
      <c r="J14" s="11"/>
      <c r="K14" s="13" t="n">
        <v>75</v>
      </c>
      <c r="L14" s="13"/>
      <c r="M14" s="14" t="n">
        <f aca="false">IF(B14="Surry Hills",2.5,IF(B14="Strathfield",14,IF(B14="Campbelltown",54,"")))</f>
        <v>2.5</v>
      </c>
      <c r="N14" s="11"/>
      <c r="O14" s="11"/>
      <c r="P14" s="11" t="s">
        <v>82</v>
      </c>
      <c r="Q14" s="11"/>
    </row>
    <row r="15" customFormat="false" ht="15" hidden="false" customHeight="true" outlineLevel="0" collapsed="false">
      <c r="A15" s="11" t="s">
        <v>101</v>
      </c>
      <c r="B15" s="11" t="s">
        <v>58</v>
      </c>
      <c r="C15" s="11" t="str">
        <f aca="false">IF(B15="Surry Hills","Inner",IF(B15="Strathfield","Middle",IF(B15="Campbelltown","Outer","")))</f>
        <v>Inner</v>
      </c>
      <c r="D15" s="11" t="s">
        <v>102</v>
      </c>
      <c r="E15" s="12" t="n">
        <v>950000</v>
      </c>
      <c r="F15" s="11" t="s">
        <v>103</v>
      </c>
      <c r="G15" s="11" t="s">
        <v>61</v>
      </c>
      <c r="H15" s="11" t="n">
        <v>2</v>
      </c>
      <c r="I15" s="11" t="n">
        <v>1</v>
      </c>
      <c r="J15" s="11" t="n">
        <v>1</v>
      </c>
      <c r="K15" s="13"/>
      <c r="L15" s="13" t="n">
        <v>62</v>
      </c>
      <c r="M15" s="14" t="n">
        <f aca="false">IF(B15="Surry Hills",2.5,IF(B15="Strathfield",14,IF(B15="Campbelltown",54,"")))</f>
        <v>2.5</v>
      </c>
      <c r="N15" s="11"/>
      <c r="O15" s="11"/>
      <c r="P15" s="11" t="s">
        <v>71</v>
      </c>
      <c r="Q15" s="11"/>
    </row>
    <row r="16" customFormat="false" ht="15" hidden="false" customHeight="true" outlineLevel="0" collapsed="false">
      <c r="A16" s="11" t="s">
        <v>104</v>
      </c>
      <c r="B16" s="11" t="s">
        <v>58</v>
      </c>
      <c r="C16" s="11" t="str">
        <f aca="false">IF(B16="Surry Hills","Inner",IF(B16="Strathfield","Middle",IF(B16="Campbelltown","Outer","")))</f>
        <v>Inner</v>
      </c>
      <c r="D16" s="11" t="s">
        <v>105</v>
      </c>
      <c r="E16" s="12" t="n">
        <v>690000</v>
      </c>
      <c r="F16" s="11" t="s">
        <v>106</v>
      </c>
      <c r="G16" s="11" t="s">
        <v>61</v>
      </c>
      <c r="H16" s="11" t="n">
        <v>1</v>
      </c>
      <c r="I16" s="11" t="n">
        <v>1</v>
      </c>
      <c r="J16" s="11"/>
      <c r="K16" s="13"/>
      <c r="L16" s="13" t="n">
        <v>56</v>
      </c>
      <c r="M16" s="14" t="n">
        <f aca="false">IF(B16="Surry Hills",2.5,IF(B16="Strathfield",14,IF(B16="Campbelltown",54,"")))</f>
        <v>2.5</v>
      </c>
      <c r="N16" s="11"/>
      <c r="O16" s="11"/>
      <c r="P16" s="11" t="s">
        <v>71</v>
      </c>
      <c r="Q16" s="11"/>
    </row>
    <row r="17" customFormat="false" ht="15" hidden="false" customHeight="true" outlineLevel="0" collapsed="false">
      <c r="A17" s="11" t="s">
        <v>107</v>
      </c>
      <c r="B17" s="11" t="s">
        <v>58</v>
      </c>
      <c r="C17" s="11" t="str">
        <f aca="false">IF(B17="Surry Hills","Inner",IF(B17="Strathfield","Middle",IF(B17="Campbelltown","Outer","")))</f>
        <v>Inner</v>
      </c>
      <c r="D17" s="11" t="s">
        <v>108</v>
      </c>
      <c r="E17" s="12" t="n">
        <v>640000</v>
      </c>
      <c r="F17" s="11" t="s">
        <v>109</v>
      </c>
      <c r="G17" s="11" t="s">
        <v>61</v>
      </c>
      <c r="H17" s="11" t="n">
        <v>1</v>
      </c>
      <c r="I17" s="11" t="n">
        <v>1</v>
      </c>
      <c r="J17" s="11"/>
      <c r="K17" s="13"/>
      <c r="L17" s="13" t="n">
        <v>46</v>
      </c>
      <c r="M17" s="14" t="n">
        <f aca="false">IF(B17="Surry Hills",2.5,IF(B17="Strathfield",14,IF(B17="Campbelltown",54,"")))</f>
        <v>2.5</v>
      </c>
      <c r="N17" s="11"/>
      <c r="O17" s="11"/>
      <c r="P17" s="11" t="s">
        <v>71</v>
      </c>
      <c r="Q17" s="11"/>
    </row>
    <row r="18" customFormat="false" ht="15" hidden="false" customHeight="true" outlineLevel="0" collapsed="false">
      <c r="A18" s="11" t="s">
        <v>110</v>
      </c>
      <c r="B18" s="11" t="s">
        <v>58</v>
      </c>
      <c r="C18" s="11" t="str">
        <f aca="false">IF(B18="Surry Hills","Inner",IF(B18="Strathfield","Middle",IF(B18="Campbelltown","Outer","")))</f>
        <v>Inner</v>
      </c>
      <c r="D18" s="11" t="s">
        <v>111</v>
      </c>
      <c r="E18" s="12" t="n">
        <v>910000</v>
      </c>
      <c r="F18" s="11" t="s">
        <v>112</v>
      </c>
      <c r="G18" s="11" t="s">
        <v>61</v>
      </c>
      <c r="H18" s="11" t="n">
        <v>2</v>
      </c>
      <c r="I18" s="11" t="n">
        <v>1</v>
      </c>
      <c r="J18" s="11" t="n">
        <v>1</v>
      </c>
      <c r="K18" s="13"/>
      <c r="L18" s="13" t="n">
        <v>57</v>
      </c>
      <c r="M18" s="14" t="n">
        <f aca="false">IF(B18="Surry Hills",2.5,IF(B18="Strathfield",14,IF(B18="Campbelltown",54,"")))</f>
        <v>2.5</v>
      </c>
      <c r="N18" s="11"/>
      <c r="O18" s="11"/>
      <c r="P18" s="11" t="s">
        <v>71</v>
      </c>
      <c r="Q18" s="11"/>
    </row>
    <row r="19" customFormat="false" ht="15" hidden="false" customHeight="true" outlineLevel="0" collapsed="false">
      <c r="A19" s="11" t="s">
        <v>113</v>
      </c>
      <c r="B19" s="11" t="s">
        <v>58</v>
      </c>
      <c r="C19" s="11" t="str">
        <f aca="false">IF(B19="Surry Hills","Inner",IF(B19="Strathfield","Middle",IF(B19="Campbelltown","Outer","")))</f>
        <v>Inner</v>
      </c>
      <c r="D19" s="11" t="s">
        <v>114</v>
      </c>
      <c r="E19" s="12" t="n">
        <v>1780000</v>
      </c>
      <c r="F19" s="11" t="s">
        <v>115</v>
      </c>
      <c r="G19" s="11" t="s">
        <v>61</v>
      </c>
      <c r="H19" s="11" t="n">
        <v>2</v>
      </c>
      <c r="I19" s="11" t="n">
        <v>2</v>
      </c>
      <c r="J19" s="11" t="n">
        <v>2</v>
      </c>
      <c r="K19" s="13"/>
      <c r="L19" s="13" t="n">
        <v>103</v>
      </c>
      <c r="M19" s="14" t="n">
        <f aca="false">IF(B19="Surry Hills",2.5,IF(B19="Strathfield",14,IF(B19="Campbelltown",54,"")))</f>
        <v>2.5</v>
      </c>
      <c r="N19" s="11"/>
      <c r="O19" s="11"/>
      <c r="P19" s="11" t="s">
        <v>71</v>
      </c>
      <c r="Q19" s="11"/>
    </row>
    <row r="20" customFormat="false" ht="15" hidden="false" customHeight="true" outlineLevel="0" collapsed="false">
      <c r="A20" s="11" t="s">
        <v>116</v>
      </c>
      <c r="B20" s="11" t="s">
        <v>58</v>
      </c>
      <c r="C20" s="11" t="str">
        <f aca="false">IF(B20="Surry Hills","Inner",IF(B20="Strathfield","Middle",IF(B20="Campbelltown","Outer","")))</f>
        <v>Inner</v>
      </c>
      <c r="D20" s="11" t="s">
        <v>117</v>
      </c>
      <c r="E20" s="12" t="n">
        <v>3125000</v>
      </c>
      <c r="F20" s="11" t="s">
        <v>118</v>
      </c>
      <c r="G20" s="11" t="s">
        <v>81</v>
      </c>
      <c r="H20" s="11" t="n">
        <v>4</v>
      </c>
      <c r="I20" s="11" t="n">
        <v>2</v>
      </c>
      <c r="J20" s="11" t="n">
        <v>1</v>
      </c>
      <c r="K20" s="13" t="n">
        <v>103</v>
      </c>
      <c r="L20" s="13"/>
      <c r="M20" s="14" t="n">
        <f aca="false">IF(B20="Surry Hills",2.5,IF(B20="Strathfield",14,IF(B20="Campbelltown",54,"")))</f>
        <v>2.5</v>
      </c>
      <c r="N20" s="11"/>
      <c r="O20" s="11"/>
      <c r="P20" s="11" t="s">
        <v>82</v>
      </c>
      <c r="Q20" s="11"/>
    </row>
    <row r="21" customFormat="false" ht="15" hidden="false" customHeight="true" outlineLevel="0" collapsed="false">
      <c r="A21" s="11" t="s">
        <v>119</v>
      </c>
      <c r="B21" s="11" t="s">
        <v>58</v>
      </c>
      <c r="C21" s="11" t="str">
        <f aca="false">IF(B21="Surry Hills","Inner",IF(B21="Strathfield","Middle",IF(B21="Campbelltown","Outer","")))</f>
        <v>Inner</v>
      </c>
      <c r="D21" s="11" t="s">
        <v>120</v>
      </c>
      <c r="E21" s="12" t="n">
        <v>1500000</v>
      </c>
      <c r="F21" s="11" t="s">
        <v>118</v>
      </c>
      <c r="G21" s="11" t="s">
        <v>61</v>
      </c>
      <c r="H21" s="11" t="n">
        <v>2</v>
      </c>
      <c r="I21" s="11" t="n">
        <v>2</v>
      </c>
      <c r="J21" s="11" t="n">
        <v>2</v>
      </c>
      <c r="K21" s="13"/>
      <c r="L21" s="13" t="n">
        <v>138</v>
      </c>
      <c r="M21" s="14" t="n">
        <f aca="false">IF(B21="Surry Hills",2.5,IF(B21="Strathfield",14,IF(B21="Campbelltown",54,"")))</f>
        <v>2.5</v>
      </c>
      <c r="N21" s="11"/>
      <c r="O21" s="11"/>
      <c r="P21" s="11" t="s">
        <v>71</v>
      </c>
      <c r="Q21" s="11"/>
    </row>
    <row r="22" customFormat="false" ht="15" hidden="false" customHeight="true" outlineLevel="0" collapsed="false">
      <c r="A22" s="11" t="s">
        <v>121</v>
      </c>
      <c r="B22" s="11" t="s">
        <v>58</v>
      </c>
      <c r="C22" s="11" t="str">
        <f aca="false">IF(B22="Surry Hills","Inner",IF(B22="Strathfield","Middle",IF(B22="Campbelltown","Outer","")))</f>
        <v>Inner</v>
      </c>
      <c r="D22" s="11" t="s">
        <v>122</v>
      </c>
      <c r="E22" s="12" t="n">
        <v>1292000</v>
      </c>
      <c r="F22" s="11" t="s">
        <v>123</v>
      </c>
      <c r="G22" s="11" t="s">
        <v>61</v>
      </c>
      <c r="H22" s="11" t="n">
        <v>2</v>
      </c>
      <c r="I22" s="11" t="n">
        <v>1</v>
      </c>
      <c r="J22" s="11" t="n">
        <v>1</v>
      </c>
      <c r="K22" s="13"/>
      <c r="L22" s="13" t="n">
        <v>74</v>
      </c>
      <c r="M22" s="14" t="n">
        <f aca="false">IF(B22="Surry Hills",2.5,IF(B22="Strathfield",14,IF(B22="Campbelltown",54,"")))</f>
        <v>2.5</v>
      </c>
      <c r="N22" s="11"/>
      <c r="O22" s="11"/>
      <c r="P22" s="11" t="s">
        <v>71</v>
      </c>
      <c r="Q22" s="11"/>
    </row>
    <row r="23" customFormat="false" ht="15" hidden="false" customHeight="true" outlineLevel="0" collapsed="false">
      <c r="A23" s="11" t="s">
        <v>124</v>
      </c>
      <c r="B23" s="11" t="s">
        <v>58</v>
      </c>
      <c r="C23" s="11" t="str">
        <f aca="false">IF(B23="Surry Hills","Inner",IF(B23="Strathfield","Middle",IF(B23="Campbelltown","Outer","")))</f>
        <v>Inner</v>
      </c>
      <c r="D23" s="11" t="s">
        <v>125</v>
      </c>
      <c r="E23" s="12" t="n">
        <v>1610000</v>
      </c>
      <c r="F23" s="11" t="s">
        <v>126</v>
      </c>
      <c r="G23" s="11" t="s">
        <v>81</v>
      </c>
      <c r="H23" s="11" t="n">
        <v>3</v>
      </c>
      <c r="I23" s="11" t="n">
        <v>1</v>
      </c>
      <c r="J23" s="11" t="n">
        <v>1</v>
      </c>
      <c r="K23" s="13" t="n">
        <v>120</v>
      </c>
      <c r="L23" s="13"/>
      <c r="M23" s="14" t="n">
        <f aca="false">IF(B23="Surry Hills",2.5,IF(B23="Strathfield",14,IF(B23="Campbelltown",54,"")))</f>
        <v>2.5</v>
      </c>
      <c r="N23" s="11"/>
      <c r="O23" s="11"/>
      <c r="P23" s="11" t="s">
        <v>82</v>
      </c>
      <c r="Q23" s="11"/>
    </row>
    <row r="24" customFormat="false" ht="15" hidden="false" customHeight="true" outlineLevel="0" collapsed="false">
      <c r="A24" s="11" t="s">
        <v>127</v>
      </c>
      <c r="B24" s="11" t="s">
        <v>58</v>
      </c>
      <c r="C24" s="11" t="str">
        <f aca="false">IF(B24="Surry Hills","Inner",IF(B24="Strathfield","Middle",IF(B24="Campbelltown","Outer","")))</f>
        <v>Inner</v>
      </c>
      <c r="D24" s="11" t="s">
        <v>128</v>
      </c>
      <c r="E24" s="12" t="n">
        <v>1400000</v>
      </c>
      <c r="F24" s="11" t="s">
        <v>129</v>
      </c>
      <c r="G24" s="11" t="s">
        <v>61</v>
      </c>
      <c r="H24" s="11" t="n">
        <v>2</v>
      </c>
      <c r="I24" s="11" t="n">
        <v>2</v>
      </c>
      <c r="J24" s="11" t="n">
        <v>1</v>
      </c>
      <c r="K24" s="13"/>
      <c r="L24" s="13" t="n">
        <v>111</v>
      </c>
      <c r="M24" s="14" t="n">
        <f aca="false">IF(B24="Surry Hills",2.5,IF(B24="Strathfield",14,IF(B24="Campbelltown",54,"")))</f>
        <v>2.5</v>
      </c>
      <c r="N24" s="11"/>
      <c r="O24" s="11"/>
      <c r="P24" s="11" t="s">
        <v>71</v>
      </c>
      <c r="Q24" s="11"/>
    </row>
    <row r="25" customFormat="false" ht="15" hidden="false" customHeight="true" outlineLevel="0" collapsed="false">
      <c r="A25" s="11" t="s">
        <v>130</v>
      </c>
      <c r="B25" s="11" t="s">
        <v>58</v>
      </c>
      <c r="C25" s="11" t="str">
        <f aca="false">IF(B25="Surry Hills","Inner",IF(B25="Strathfield","Middle",IF(B25="Campbelltown","Outer","")))</f>
        <v>Inner</v>
      </c>
      <c r="D25" s="11" t="s">
        <v>131</v>
      </c>
      <c r="E25" s="12" t="n">
        <v>1085000</v>
      </c>
      <c r="F25" s="11" t="s">
        <v>132</v>
      </c>
      <c r="G25" s="11" t="s">
        <v>61</v>
      </c>
      <c r="H25" s="11" t="n">
        <v>2</v>
      </c>
      <c r="I25" s="11" t="n">
        <v>1</v>
      </c>
      <c r="J25" s="11" t="n">
        <v>1</v>
      </c>
      <c r="K25" s="13"/>
      <c r="L25" s="13" t="n">
        <v>79</v>
      </c>
      <c r="M25" s="14" t="n">
        <f aca="false">IF(B25="Surry Hills",2.5,IF(B25="Strathfield",14,IF(B25="Campbelltown",54,"")))</f>
        <v>2.5</v>
      </c>
      <c r="N25" s="11"/>
      <c r="O25" s="11"/>
      <c r="P25" s="11" t="s">
        <v>71</v>
      </c>
      <c r="Q25" s="11"/>
    </row>
    <row r="26" customFormat="false" ht="15" hidden="false" customHeight="true" outlineLevel="0" collapsed="false">
      <c r="A26" s="11" t="s">
        <v>133</v>
      </c>
      <c r="B26" s="11" t="s">
        <v>58</v>
      </c>
      <c r="C26" s="11" t="str">
        <f aca="false">IF(B26="Surry Hills","Inner",IF(B26="Strathfield","Middle",IF(B26="Campbelltown","Outer","")))</f>
        <v>Inner</v>
      </c>
      <c r="D26" s="11" t="s">
        <v>134</v>
      </c>
      <c r="E26" s="12" t="n">
        <v>1215000</v>
      </c>
      <c r="F26" s="11" t="s">
        <v>135</v>
      </c>
      <c r="G26" s="11" t="s">
        <v>61</v>
      </c>
      <c r="H26" s="11" t="n">
        <v>1</v>
      </c>
      <c r="I26" s="11" t="n">
        <v>1</v>
      </c>
      <c r="J26" s="11" t="n">
        <v>1</v>
      </c>
      <c r="K26" s="13"/>
      <c r="L26" s="13" t="n">
        <v>78</v>
      </c>
      <c r="M26" s="14" t="n">
        <f aca="false">IF(B26="Surry Hills",2.5,IF(B26="Strathfield",14,IF(B26="Campbelltown",54,"")))</f>
        <v>2.5</v>
      </c>
      <c r="N26" s="11"/>
      <c r="O26" s="11"/>
      <c r="P26" s="11" t="s">
        <v>71</v>
      </c>
      <c r="Q26" s="11"/>
    </row>
    <row r="27" customFormat="false" ht="15" hidden="false" customHeight="true" outlineLevel="0" collapsed="false">
      <c r="A27" s="11" t="s">
        <v>136</v>
      </c>
      <c r="B27" s="11" t="s">
        <v>58</v>
      </c>
      <c r="C27" s="11" t="str">
        <f aca="false">IF(B27="Surry Hills","Inner",IF(B27="Strathfield","Middle",IF(B27="Campbelltown","Outer","")))</f>
        <v>Inner</v>
      </c>
      <c r="D27" s="11" t="s">
        <v>137</v>
      </c>
      <c r="E27" s="12" t="n">
        <v>2235000</v>
      </c>
      <c r="F27" s="11" t="s">
        <v>138</v>
      </c>
      <c r="G27" s="11" t="s">
        <v>81</v>
      </c>
      <c r="H27" s="11" t="n">
        <v>3</v>
      </c>
      <c r="I27" s="11" t="n">
        <v>2</v>
      </c>
      <c r="J27" s="11"/>
      <c r="K27" s="13" t="n">
        <v>83</v>
      </c>
      <c r="L27" s="13"/>
      <c r="M27" s="14" t="n">
        <f aca="false">IF(B27="Surry Hills",2.5,IF(B27="Strathfield",14,IF(B27="Campbelltown",54,"")))</f>
        <v>2.5</v>
      </c>
      <c r="N27" s="11"/>
      <c r="O27" s="11"/>
      <c r="P27" s="11" t="s">
        <v>82</v>
      </c>
      <c r="Q27" s="11"/>
    </row>
    <row r="28" customFormat="false" ht="15" hidden="false" customHeight="true" outlineLevel="0" collapsed="false">
      <c r="A28" s="11" t="s">
        <v>139</v>
      </c>
      <c r="B28" s="11" t="s">
        <v>58</v>
      </c>
      <c r="C28" s="11" t="str">
        <f aca="false">IF(B28="Surry Hills","Inner",IF(B28="Strathfield","Middle",IF(B28="Campbelltown","Outer","")))</f>
        <v>Inner</v>
      </c>
      <c r="D28" s="11" t="s">
        <v>140</v>
      </c>
      <c r="E28" s="12" t="n">
        <v>5000000</v>
      </c>
      <c r="F28" s="11" t="s">
        <v>141</v>
      </c>
      <c r="G28" s="11" t="s">
        <v>142</v>
      </c>
      <c r="H28" s="11" t="n">
        <v>4</v>
      </c>
      <c r="I28" s="11" t="n">
        <v>2</v>
      </c>
      <c r="J28" s="11" t="n">
        <v>2</v>
      </c>
      <c r="K28" s="13"/>
      <c r="L28" s="13" t="n">
        <v>185</v>
      </c>
      <c r="M28" s="14" t="n">
        <f aca="false">IF(B28="Surry Hills",2.5,IF(B28="Strathfield",14,IF(B28="Campbelltown",54,"")))</f>
        <v>2.5</v>
      </c>
      <c r="N28" s="11"/>
      <c r="O28" s="11"/>
      <c r="P28" s="11" t="s">
        <v>143</v>
      </c>
      <c r="Q28" s="11"/>
    </row>
    <row r="29" customFormat="false" ht="15" hidden="false" customHeight="true" outlineLevel="0" collapsed="false">
      <c r="A29" s="11" t="s">
        <v>144</v>
      </c>
      <c r="B29" s="11" t="s">
        <v>58</v>
      </c>
      <c r="C29" s="11" t="str">
        <f aca="false">IF(B29="Surry Hills","Inner",IF(B29="Strathfield","Middle",IF(B29="Campbelltown","Outer","")))</f>
        <v>Inner</v>
      </c>
      <c r="D29" s="11" t="s">
        <v>145</v>
      </c>
      <c r="E29" s="12" t="n">
        <v>3550000</v>
      </c>
      <c r="F29" s="11" t="s">
        <v>146</v>
      </c>
      <c r="G29" s="11" t="s">
        <v>81</v>
      </c>
      <c r="H29" s="11" t="n">
        <v>3</v>
      </c>
      <c r="I29" s="11" t="n">
        <v>2</v>
      </c>
      <c r="J29" s="11" t="n">
        <v>1</v>
      </c>
      <c r="K29" s="13" t="n">
        <v>113</v>
      </c>
      <c r="L29" s="13"/>
      <c r="M29" s="14" t="n">
        <f aca="false">IF(B29="Surry Hills",2.5,IF(B29="Strathfield",14,IF(B29="Campbelltown",54,"")))</f>
        <v>2.5</v>
      </c>
      <c r="N29" s="11"/>
      <c r="O29" s="11"/>
      <c r="P29" s="11" t="s">
        <v>82</v>
      </c>
      <c r="Q29" s="11"/>
    </row>
    <row r="30" customFormat="false" ht="15" hidden="false" customHeight="true" outlineLevel="0" collapsed="false">
      <c r="A30" s="11" t="s">
        <v>147</v>
      </c>
      <c r="B30" s="11" t="s">
        <v>58</v>
      </c>
      <c r="C30" s="11" t="str">
        <f aca="false">IF(B30="Surry Hills","Inner",IF(B30="Strathfield","Middle",IF(B30="Campbelltown","Outer","")))</f>
        <v>Inner</v>
      </c>
      <c r="D30" s="11" t="s">
        <v>148</v>
      </c>
      <c r="E30" s="12" t="n">
        <v>1690000</v>
      </c>
      <c r="F30" s="11" t="s">
        <v>149</v>
      </c>
      <c r="G30" s="11" t="s">
        <v>81</v>
      </c>
      <c r="H30" s="11" t="n">
        <v>2</v>
      </c>
      <c r="I30" s="11" t="n">
        <v>1</v>
      </c>
      <c r="J30" s="11"/>
      <c r="K30" s="13" t="n">
        <v>83</v>
      </c>
      <c r="L30" s="13"/>
      <c r="M30" s="14" t="n">
        <f aca="false">IF(B30="Surry Hills",2.5,IF(B30="Strathfield",14,IF(B30="Campbelltown",54,"")))</f>
        <v>2.5</v>
      </c>
      <c r="N30" s="11"/>
      <c r="O30" s="11"/>
      <c r="P30" s="11" t="s">
        <v>82</v>
      </c>
      <c r="Q30" s="11"/>
    </row>
    <row r="31" customFormat="false" ht="15" hidden="false" customHeight="true" outlineLevel="0" collapsed="false">
      <c r="A31" s="11" t="s">
        <v>150</v>
      </c>
      <c r="B31" s="11" t="s">
        <v>58</v>
      </c>
      <c r="C31" s="11" t="str">
        <f aca="false">IF(B31="Surry Hills","Inner",IF(B31="Strathfield","Middle",IF(B31="Campbelltown","Outer","")))</f>
        <v>Inner</v>
      </c>
      <c r="D31" s="11" t="s">
        <v>151</v>
      </c>
      <c r="E31" s="12" t="n">
        <v>735000</v>
      </c>
      <c r="F31" s="11" t="s">
        <v>152</v>
      </c>
      <c r="G31" s="11" t="s">
        <v>61</v>
      </c>
      <c r="H31" s="11" t="n">
        <v>1</v>
      </c>
      <c r="I31" s="11" t="n">
        <v>1</v>
      </c>
      <c r="J31" s="11"/>
      <c r="K31" s="13"/>
      <c r="L31" s="13" t="n">
        <v>54</v>
      </c>
      <c r="M31" s="14" t="n">
        <f aca="false">IF(B31="Surry Hills",2.5,IF(B31="Strathfield",14,IF(B31="Campbelltown",54,"")))</f>
        <v>2.5</v>
      </c>
      <c r="N31" s="11"/>
      <c r="O31" s="11"/>
      <c r="P31" s="11" t="s">
        <v>71</v>
      </c>
      <c r="Q31" s="11"/>
    </row>
    <row r="32" customFormat="false" ht="15" hidden="false" customHeight="true" outlineLevel="0" collapsed="false">
      <c r="A32" s="11" t="s">
        <v>153</v>
      </c>
      <c r="B32" s="11" t="s">
        <v>58</v>
      </c>
      <c r="C32" s="11" t="str">
        <f aca="false">IF(B32="Surry Hills","Inner",IF(B32="Strathfield","Middle",IF(B32="Campbelltown","Outer","")))</f>
        <v>Inner</v>
      </c>
      <c r="D32" s="11" t="s">
        <v>154</v>
      </c>
      <c r="E32" s="12" t="n">
        <v>1875000</v>
      </c>
      <c r="F32" s="11" t="s">
        <v>155</v>
      </c>
      <c r="G32" s="11" t="s">
        <v>81</v>
      </c>
      <c r="H32" s="11" t="n">
        <v>2</v>
      </c>
      <c r="I32" s="11" t="n">
        <v>1</v>
      </c>
      <c r="J32" s="11"/>
      <c r="K32" s="13" t="n">
        <v>70</v>
      </c>
      <c r="L32" s="13"/>
      <c r="M32" s="14" t="n">
        <f aca="false">IF(B32="Surry Hills",2.5,IF(B32="Strathfield",14,IF(B32="Campbelltown",54,"")))</f>
        <v>2.5</v>
      </c>
      <c r="N32" s="11"/>
      <c r="O32" s="11"/>
      <c r="P32" s="11" t="s">
        <v>82</v>
      </c>
      <c r="Q32" s="11"/>
    </row>
    <row r="33" customFormat="false" ht="15" hidden="false" customHeight="true" outlineLevel="0" collapsed="false">
      <c r="A33" s="11" t="s">
        <v>156</v>
      </c>
      <c r="B33" s="11" t="s">
        <v>58</v>
      </c>
      <c r="C33" s="11" t="str">
        <f aca="false">IF(B33="Surry Hills","Inner",IF(B33="Strathfield","Middle",IF(B33="Campbelltown","Outer","")))</f>
        <v>Inner</v>
      </c>
      <c r="D33" s="11" t="s">
        <v>157</v>
      </c>
      <c r="E33" s="12" t="n">
        <v>800000</v>
      </c>
      <c r="F33" s="11" t="s">
        <v>158</v>
      </c>
      <c r="G33" s="11" t="s">
        <v>61</v>
      </c>
      <c r="H33" s="11" t="n">
        <v>1</v>
      </c>
      <c r="I33" s="11" t="n">
        <v>1</v>
      </c>
      <c r="J33" s="11" t="n">
        <v>1</v>
      </c>
      <c r="K33" s="13"/>
      <c r="L33" s="13" t="n">
        <v>69</v>
      </c>
      <c r="M33" s="14" t="n">
        <f aca="false">IF(B33="Surry Hills",2.5,IF(B33="Strathfield",14,IF(B33="Campbelltown",54,"")))</f>
        <v>2.5</v>
      </c>
      <c r="N33" s="11"/>
      <c r="O33" s="11"/>
      <c r="P33" s="11" t="s">
        <v>71</v>
      </c>
      <c r="Q33" s="11"/>
    </row>
    <row r="34" customFormat="false" ht="15" hidden="false" customHeight="true" outlineLevel="0" collapsed="false">
      <c r="A34" s="11" t="s">
        <v>159</v>
      </c>
      <c r="B34" s="11" t="s">
        <v>58</v>
      </c>
      <c r="C34" s="11" t="str">
        <f aca="false">IF(B34="Surry Hills","Inner",IF(B34="Strathfield","Middle",IF(B34="Campbelltown","Outer","")))</f>
        <v>Inner</v>
      </c>
      <c r="D34" s="11" t="s">
        <v>160</v>
      </c>
      <c r="E34" s="12" t="n">
        <v>870000</v>
      </c>
      <c r="F34" s="11" t="s">
        <v>161</v>
      </c>
      <c r="G34" s="11" t="s">
        <v>61</v>
      </c>
      <c r="H34" s="11" t="n">
        <v>1</v>
      </c>
      <c r="I34" s="11" t="n">
        <v>1</v>
      </c>
      <c r="J34" s="11"/>
      <c r="K34" s="13"/>
      <c r="L34" s="13" t="n">
        <v>62</v>
      </c>
      <c r="M34" s="14" t="n">
        <f aca="false">IF(B34="Surry Hills",2.5,IF(B34="Strathfield",14,IF(B34="Campbelltown",54,"")))</f>
        <v>2.5</v>
      </c>
      <c r="N34" s="11"/>
      <c r="O34" s="11"/>
      <c r="P34" s="11" t="s">
        <v>71</v>
      </c>
      <c r="Q34" s="11"/>
    </row>
    <row r="35" customFormat="false" ht="15" hidden="false" customHeight="true" outlineLevel="0" collapsed="false">
      <c r="A35" s="11" t="s">
        <v>162</v>
      </c>
      <c r="B35" s="11" t="s">
        <v>58</v>
      </c>
      <c r="C35" s="11" t="str">
        <f aca="false">IF(B35="Surry Hills","Inner",IF(B35="Strathfield","Middle",IF(B35="Campbelltown","Outer","")))</f>
        <v>Inner</v>
      </c>
      <c r="D35" s="11" t="s">
        <v>163</v>
      </c>
      <c r="E35" s="12" t="n">
        <v>2125000</v>
      </c>
      <c r="F35" s="11" t="s">
        <v>164</v>
      </c>
      <c r="G35" s="11" t="s">
        <v>61</v>
      </c>
      <c r="H35" s="11" t="n">
        <v>2</v>
      </c>
      <c r="I35" s="11" t="n">
        <v>2</v>
      </c>
      <c r="J35" s="11" t="n">
        <v>1</v>
      </c>
      <c r="K35" s="13"/>
      <c r="L35" s="13" t="n">
        <v>124</v>
      </c>
      <c r="M35" s="14" t="n">
        <f aca="false">IF(B35="Surry Hills",2.5,IF(B35="Strathfield",14,IF(B35="Campbelltown",54,"")))</f>
        <v>2.5</v>
      </c>
      <c r="N35" s="11"/>
      <c r="O35" s="11"/>
      <c r="P35" s="11" t="s">
        <v>71</v>
      </c>
      <c r="Q35" s="11"/>
    </row>
    <row r="36" customFormat="false" ht="15" hidden="false" customHeight="true" outlineLevel="0" collapsed="false">
      <c r="A36" s="11" t="s">
        <v>165</v>
      </c>
      <c r="B36" s="11" t="s">
        <v>58</v>
      </c>
      <c r="C36" s="11" t="str">
        <f aca="false">IF(B36="Surry Hills","Inner",IF(B36="Strathfield","Middle",IF(B36="Campbelltown","Outer","")))</f>
        <v>Inner</v>
      </c>
      <c r="D36" s="11" t="s">
        <v>166</v>
      </c>
      <c r="E36" s="12" t="n">
        <v>1190000</v>
      </c>
      <c r="F36" s="11" t="s">
        <v>167</v>
      </c>
      <c r="G36" s="11" t="s">
        <v>61</v>
      </c>
      <c r="H36" s="11" t="n">
        <v>1</v>
      </c>
      <c r="I36" s="11" t="n">
        <v>1</v>
      </c>
      <c r="J36" s="11"/>
      <c r="K36" s="13"/>
      <c r="L36" s="13" t="n">
        <v>71</v>
      </c>
      <c r="M36" s="14" t="n">
        <f aca="false">IF(B36="Surry Hills",2.5,IF(B36="Strathfield",14,IF(B36="Campbelltown",54,"")))</f>
        <v>2.5</v>
      </c>
      <c r="N36" s="11"/>
      <c r="O36" s="11"/>
      <c r="P36" s="11" t="s">
        <v>71</v>
      </c>
      <c r="Q36" s="11"/>
    </row>
    <row r="37" customFormat="false" ht="15" hidden="false" customHeight="true" outlineLevel="0" collapsed="false">
      <c r="A37" s="11" t="s">
        <v>168</v>
      </c>
      <c r="B37" s="11" t="s">
        <v>58</v>
      </c>
      <c r="C37" s="11" t="str">
        <f aca="false">IF(B37="Surry Hills","Inner",IF(B37="Strathfield","Middle",IF(B37="Campbelltown","Outer","")))</f>
        <v>Inner</v>
      </c>
      <c r="D37" s="11" t="s">
        <v>169</v>
      </c>
      <c r="E37" s="12" t="n">
        <v>1625000</v>
      </c>
      <c r="F37" s="11" t="s">
        <v>170</v>
      </c>
      <c r="G37" s="11" t="s">
        <v>61</v>
      </c>
      <c r="H37" s="11" t="n">
        <v>2</v>
      </c>
      <c r="I37" s="11" t="n">
        <v>1</v>
      </c>
      <c r="J37" s="11" t="n">
        <v>1</v>
      </c>
      <c r="K37" s="13"/>
      <c r="L37" s="13" t="n">
        <v>111</v>
      </c>
      <c r="M37" s="14" t="n">
        <f aca="false">IF(B37="Surry Hills",2.5,IF(B37="Strathfield",14,IF(B37="Campbelltown",54,"")))</f>
        <v>2.5</v>
      </c>
      <c r="N37" s="11"/>
      <c r="O37" s="11"/>
      <c r="P37" s="11" t="s">
        <v>71</v>
      </c>
      <c r="Q37" s="11"/>
    </row>
    <row r="38" customFormat="false" ht="15" hidden="false" customHeight="true" outlineLevel="0" collapsed="false">
      <c r="A38" s="11" t="s">
        <v>171</v>
      </c>
      <c r="B38" s="11" t="s">
        <v>58</v>
      </c>
      <c r="C38" s="11" t="str">
        <f aca="false">IF(B38="Surry Hills","Inner",IF(B38="Strathfield","Middle",IF(B38="Campbelltown","Outer","")))</f>
        <v>Inner</v>
      </c>
      <c r="D38" s="11" t="s">
        <v>172</v>
      </c>
      <c r="E38" s="12" t="n">
        <v>2575000</v>
      </c>
      <c r="F38" s="11" t="s">
        <v>173</v>
      </c>
      <c r="G38" s="11" t="s">
        <v>81</v>
      </c>
      <c r="H38" s="11" t="n">
        <v>2</v>
      </c>
      <c r="I38" s="11" t="n">
        <v>1</v>
      </c>
      <c r="J38" s="11"/>
      <c r="K38" s="13" t="n">
        <v>100</v>
      </c>
      <c r="L38" s="13"/>
      <c r="M38" s="14" t="n">
        <f aca="false">IF(B38="Surry Hills",2.5,IF(B38="Strathfield",14,IF(B38="Campbelltown",54,"")))</f>
        <v>2.5</v>
      </c>
      <c r="N38" s="11"/>
      <c r="O38" s="11"/>
      <c r="P38" s="11" t="s">
        <v>82</v>
      </c>
      <c r="Q38" s="11"/>
    </row>
    <row r="39" customFormat="false" ht="15" hidden="false" customHeight="true" outlineLevel="0" collapsed="false">
      <c r="A39" s="11" t="s">
        <v>174</v>
      </c>
      <c r="B39" s="11" t="s">
        <v>58</v>
      </c>
      <c r="C39" s="11" t="str">
        <f aca="false">IF(B39="Surry Hills","Inner",IF(B39="Strathfield","Middle",IF(B39="Campbelltown","Outer","")))</f>
        <v>Inner</v>
      </c>
      <c r="D39" s="11" t="s">
        <v>175</v>
      </c>
      <c r="E39" s="12" t="n">
        <v>510000</v>
      </c>
      <c r="F39" s="11" t="s">
        <v>176</v>
      </c>
      <c r="G39" s="11" t="s">
        <v>61</v>
      </c>
      <c r="H39" s="11" t="n">
        <v>1</v>
      </c>
      <c r="I39" s="11" t="n">
        <v>1</v>
      </c>
      <c r="J39" s="11"/>
      <c r="K39" s="13"/>
      <c r="L39" s="13" t="n">
        <v>40</v>
      </c>
      <c r="M39" s="14" t="n">
        <f aca="false">IF(B39="Surry Hills",2.5,IF(B39="Strathfield",14,IF(B39="Campbelltown",54,"")))</f>
        <v>2.5</v>
      </c>
      <c r="N39" s="11"/>
      <c r="O39" s="11"/>
      <c r="P39" s="11" t="s">
        <v>71</v>
      </c>
      <c r="Q39" s="11"/>
    </row>
    <row r="40" customFormat="false" ht="15" hidden="false" customHeight="true" outlineLevel="0" collapsed="false">
      <c r="A40" s="11" t="s">
        <v>177</v>
      </c>
      <c r="B40" s="11" t="s">
        <v>58</v>
      </c>
      <c r="C40" s="11" t="str">
        <f aca="false">IF(B40="Surry Hills","Inner",IF(B40="Strathfield","Middle",IF(B40="Campbelltown","Outer","")))</f>
        <v>Inner</v>
      </c>
      <c r="D40" s="11" t="s">
        <v>178</v>
      </c>
      <c r="E40" s="12" t="n">
        <v>3300000</v>
      </c>
      <c r="F40" s="11" t="s">
        <v>179</v>
      </c>
      <c r="G40" s="11" t="s">
        <v>81</v>
      </c>
      <c r="H40" s="11" t="n">
        <v>3</v>
      </c>
      <c r="I40" s="11" t="n">
        <v>2</v>
      </c>
      <c r="J40" s="11"/>
      <c r="K40" s="13" t="n">
        <v>107</v>
      </c>
      <c r="L40" s="13"/>
      <c r="M40" s="14" t="n">
        <f aca="false">IF(B40="Surry Hills",2.5,IF(B40="Strathfield",14,IF(B40="Campbelltown",54,"")))</f>
        <v>2.5</v>
      </c>
      <c r="N40" s="11"/>
      <c r="O40" s="11"/>
      <c r="P40" s="11" t="s">
        <v>82</v>
      </c>
      <c r="Q40" s="11"/>
    </row>
    <row r="41" customFormat="false" ht="15" hidden="false" customHeight="true" outlineLevel="0" collapsed="false">
      <c r="A41" s="11" t="s">
        <v>180</v>
      </c>
      <c r="B41" s="11" t="s">
        <v>58</v>
      </c>
      <c r="C41" s="11" t="str">
        <f aca="false">IF(B41="Surry Hills","Inner",IF(B41="Strathfield","Middle",IF(B41="Campbelltown","Outer","")))</f>
        <v>Inner</v>
      </c>
      <c r="D41" s="11" t="s">
        <v>181</v>
      </c>
      <c r="E41" s="12" t="n">
        <v>800000</v>
      </c>
      <c r="F41" s="11" t="s">
        <v>179</v>
      </c>
      <c r="G41" s="11" t="s">
        <v>61</v>
      </c>
      <c r="H41" s="11" t="n">
        <v>1</v>
      </c>
      <c r="I41" s="11" t="n">
        <v>1</v>
      </c>
      <c r="J41" s="11"/>
      <c r="K41" s="13"/>
      <c r="L41" s="13" t="n">
        <v>48</v>
      </c>
      <c r="M41" s="14" t="n">
        <f aca="false">IF(B41="Surry Hills",2.5,IF(B41="Strathfield",14,IF(B41="Campbelltown",54,"")))</f>
        <v>2.5</v>
      </c>
      <c r="N41" s="11"/>
      <c r="O41" s="11"/>
      <c r="P41" s="11" t="s">
        <v>71</v>
      </c>
      <c r="Q41" s="11"/>
    </row>
    <row r="42" customFormat="false" ht="15" hidden="false" customHeight="true" outlineLevel="0" collapsed="false">
      <c r="A42" s="11" t="s">
        <v>182</v>
      </c>
      <c r="B42" s="11" t="s">
        <v>58</v>
      </c>
      <c r="C42" s="11" t="str">
        <f aca="false">IF(B42="Surry Hills","Inner",IF(B42="Strathfield","Middle",IF(B42="Campbelltown","Outer","")))</f>
        <v>Inner</v>
      </c>
      <c r="D42" s="11" t="s">
        <v>183</v>
      </c>
      <c r="E42" s="12" t="n">
        <v>1043500</v>
      </c>
      <c r="F42" s="11" t="s">
        <v>184</v>
      </c>
      <c r="G42" s="11" t="s">
        <v>61</v>
      </c>
      <c r="H42" s="11" t="n">
        <v>1</v>
      </c>
      <c r="I42" s="11" t="n">
        <v>1</v>
      </c>
      <c r="J42" s="11"/>
      <c r="K42" s="13"/>
      <c r="L42" s="13" t="n">
        <v>59</v>
      </c>
      <c r="M42" s="14" t="n">
        <f aca="false">IF(B42="Surry Hills",2.5,IF(B42="Strathfield",14,IF(B42="Campbelltown",54,"")))</f>
        <v>2.5</v>
      </c>
      <c r="N42" s="11"/>
      <c r="O42" s="11"/>
      <c r="P42" s="11" t="s">
        <v>71</v>
      </c>
      <c r="Q42" s="11"/>
    </row>
    <row r="43" customFormat="false" ht="15" hidden="false" customHeight="true" outlineLevel="0" collapsed="false">
      <c r="A43" s="11" t="s">
        <v>185</v>
      </c>
      <c r="B43" s="11" t="s">
        <v>58</v>
      </c>
      <c r="C43" s="11" t="str">
        <f aca="false">IF(B43="Surry Hills","Inner",IF(B43="Strathfield","Middle",IF(B43="Campbelltown","Outer","")))</f>
        <v>Inner</v>
      </c>
      <c r="D43" s="11" t="s">
        <v>186</v>
      </c>
      <c r="E43" s="12" t="n">
        <v>1531250</v>
      </c>
      <c r="F43" s="11" t="s">
        <v>187</v>
      </c>
      <c r="G43" s="11" t="s">
        <v>81</v>
      </c>
      <c r="H43" s="11" t="n">
        <v>2</v>
      </c>
      <c r="I43" s="11" t="n">
        <v>1</v>
      </c>
      <c r="J43" s="11" t="n">
        <v>1</v>
      </c>
      <c r="K43" s="13" t="n">
        <v>95</v>
      </c>
      <c r="L43" s="13"/>
      <c r="M43" s="14" t="n">
        <f aca="false">IF(B43="Surry Hills",2.5,IF(B43="Strathfield",14,IF(B43="Campbelltown",54,"")))</f>
        <v>2.5</v>
      </c>
      <c r="N43" s="11"/>
      <c r="O43" s="11"/>
      <c r="P43" s="11" t="s">
        <v>82</v>
      </c>
      <c r="Q43" s="11"/>
    </row>
    <row r="44" customFormat="false" ht="15" hidden="false" customHeight="true" outlineLevel="0" collapsed="false">
      <c r="A44" s="11" t="s">
        <v>188</v>
      </c>
      <c r="B44" s="11" t="s">
        <v>58</v>
      </c>
      <c r="C44" s="11" t="str">
        <f aca="false">IF(B44="Surry Hills","Inner",IF(B44="Strathfield","Middle",IF(B44="Campbelltown","Outer","")))</f>
        <v>Inner</v>
      </c>
      <c r="D44" s="11" t="s">
        <v>189</v>
      </c>
      <c r="E44" s="12" t="n">
        <v>375000</v>
      </c>
      <c r="F44" s="11" t="s">
        <v>190</v>
      </c>
      <c r="G44" s="11" t="s">
        <v>61</v>
      </c>
      <c r="H44" s="11" t="n">
        <v>1</v>
      </c>
      <c r="I44" s="11" t="n">
        <v>1</v>
      </c>
      <c r="J44" s="11"/>
      <c r="K44" s="13"/>
      <c r="L44" s="13" t="n">
        <v>20</v>
      </c>
      <c r="M44" s="14" t="n">
        <f aca="false">IF(B44="Surry Hills",2.5,IF(B44="Strathfield",14,IF(B44="Campbelltown",54,"")))</f>
        <v>2.5</v>
      </c>
      <c r="N44" s="11"/>
      <c r="O44" s="11"/>
      <c r="P44" s="11" t="s">
        <v>67</v>
      </c>
      <c r="Q44" s="11"/>
    </row>
    <row r="45" customFormat="false" ht="15" hidden="false" customHeight="true" outlineLevel="0" collapsed="false">
      <c r="A45" s="11" t="s">
        <v>191</v>
      </c>
      <c r="B45" s="11" t="s">
        <v>58</v>
      </c>
      <c r="C45" s="11" t="str">
        <f aca="false">IF(B45="Surry Hills","Inner",IF(B45="Strathfield","Middle",IF(B45="Campbelltown","Outer","")))</f>
        <v>Inner</v>
      </c>
      <c r="D45" s="11" t="s">
        <v>192</v>
      </c>
      <c r="E45" s="12" t="n">
        <v>1380000</v>
      </c>
      <c r="F45" s="11" t="s">
        <v>193</v>
      </c>
      <c r="G45" s="11" t="s">
        <v>61</v>
      </c>
      <c r="H45" s="11" t="n">
        <v>2</v>
      </c>
      <c r="I45" s="11" t="n">
        <v>2</v>
      </c>
      <c r="J45" s="11"/>
      <c r="K45" s="13"/>
      <c r="L45" s="13" t="n">
        <v>90</v>
      </c>
      <c r="M45" s="14" t="n">
        <f aca="false">IF(B45="Surry Hills",2.5,IF(B45="Strathfield",14,IF(B45="Campbelltown",54,"")))</f>
        <v>2.5</v>
      </c>
      <c r="N45" s="11"/>
      <c r="O45" s="11"/>
      <c r="P45" s="11" t="s">
        <v>71</v>
      </c>
      <c r="Q45" s="11"/>
    </row>
    <row r="46" customFormat="false" ht="15" hidden="false" customHeight="true" outlineLevel="0" collapsed="false">
      <c r="A46" s="11" t="s">
        <v>194</v>
      </c>
      <c r="B46" s="11" t="s">
        <v>58</v>
      </c>
      <c r="C46" s="11" t="str">
        <f aca="false">IF(B46="Surry Hills","Inner",IF(B46="Strathfield","Middle",IF(B46="Campbelltown","Outer","")))</f>
        <v>Inner</v>
      </c>
      <c r="D46" s="11" t="s">
        <v>195</v>
      </c>
      <c r="E46" s="12" t="n">
        <v>1650000</v>
      </c>
      <c r="F46" s="11" t="s">
        <v>196</v>
      </c>
      <c r="G46" s="11" t="s">
        <v>61</v>
      </c>
      <c r="H46" s="11" t="n">
        <v>2</v>
      </c>
      <c r="I46" s="11" t="n">
        <v>2</v>
      </c>
      <c r="J46" s="11" t="n">
        <v>1</v>
      </c>
      <c r="K46" s="13"/>
      <c r="L46" s="13" t="n">
        <v>113</v>
      </c>
      <c r="M46" s="14" t="n">
        <f aca="false">IF(B46="Surry Hills",2.5,IF(B46="Strathfield",14,IF(B46="Campbelltown",54,"")))</f>
        <v>2.5</v>
      </c>
      <c r="N46" s="11"/>
      <c r="O46" s="11"/>
      <c r="P46" s="11" t="s">
        <v>71</v>
      </c>
      <c r="Q46" s="11"/>
    </row>
    <row r="47" customFormat="false" ht="15" hidden="false" customHeight="true" outlineLevel="0" collapsed="false">
      <c r="A47" s="11" t="s">
        <v>197</v>
      </c>
      <c r="B47" s="11" t="s">
        <v>58</v>
      </c>
      <c r="C47" s="11" t="str">
        <f aca="false">IF(B47="Surry Hills","Inner",IF(B47="Strathfield","Middle",IF(B47="Campbelltown","Outer","")))</f>
        <v>Inner</v>
      </c>
      <c r="D47" s="11" t="s">
        <v>198</v>
      </c>
      <c r="E47" s="12" t="n">
        <v>950000</v>
      </c>
      <c r="F47" s="11" t="s">
        <v>199</v>
      </c>
      <c r="G47" s="11" t="s">
        <v>61</v>
      </c>
      <c r="H47" s="11" t="n">
        <v>1</v>
      </c>
      <c r="I47" s="11" t="n">
        <v>1</v>
      </c>
      <c r="J47" s="11" t="n">
        <v>1</v>
      </c>
      <c r="K47" s="13"/>
      <c r="L47" s="13" t="n">
        <v>66</v>
      </c>
      <c r="M47" s="14" t="n">
        <f aca="false">IF(B47="Surry Hills",2.5,IF(B47="Strathfield",14,IF(B47="Campbelltown",54,"")))</f>
        <v>2.5</v>
      </c>
      <c r="N47" s="11"/>
      <c r="O47" s="11"/>
      <c r="P47" s="11" t="s">
        <v>71</v>
      </c>
      <c r="Q47" s="11"/>
    </row>
    <row r="48" customFormat="false" ht="15" hidden="false" customHeight="true" outlineLevel="0" collapsed="false">
      <c r="A48" s="11" t="s">
        <v>200</v>
      </c>
      <c r="B48" s="11" t="s">
        <v>58</v>
      </c>
      <c r="C48" s="11" t="str">
        <f aca="false">IF(B48="Surry Hills","Inner",IF(B48="Strathfield","Middle",IF(B48="Campbelltown","Outer","")))</f>
        <v>Inner</v>
      </c>
      <c r="D48" s="11" t="s">
        <v>201</v>
      </c>
      <c r="E48" s="12" t="n">
        <v>725000</v>
      </c>
      <c r="F48" s="11" t="s">
        <v>202</v>
      </c>
      <c r="G48" s="11" t="s">
        <v>61</v>
      </c>
      <c r="H48" s="11" t="n">
        <v>1</v>
      </c>
      <c r="I48" s="11" t="n">
        <v>1</v>
      </c>
      <c r="J48" s="11"/>
      <c r="K48" s="13"/>
      <c r="L48" s="13" t="n">
        <v>45</v>
      </c>
      <c r="M48" s="14" t="n">
        <f aca="false">IF(B48="Surry Hills",2.5,IF(B48="Strathfield",14,IF(B48="Campbelltown",54,"")))</f>
        <v>2.5</v>
      </c>
      <c r="N48" s="11"/>
      <c r="O48" s="11"/>
      <c r="P48" s="11" t="s">
        <v>67</v>
      </c>
      <c r="Q48" s="11"/>
    </row>
    <row r="49" customFormat="false" ht="15" hidden="false" customHeight="true" outlineLevel="0" collapsed="false">
      <c r="A49" s="11" t="s">
        <v>203</v>
      </c>
      <c r="B49" s="11" t="s">
        <v>58</v>
      </c>
      <c r="C49" s="11" t="str">
        <f aca="false">IF(B49="Surry Hills","Inner",IF(B49="Strathfield","Middle",IF(B49="Campbelltown","Outer","")))</f>
        <v>Inner</v>
      </c>
      <c r="D49" s="11" t="s">
        <v>204</v>
      </c>
      <c r="E49" s="12" t="n">
        <v>3025000</v>
      </c>
      <c r="F49" s="11" t="s">
        <v>205</v>
      </c>
      <c r="G49" s="11" t="s">
        <v>142</v>
      </c>
      <c r="H49" s="11" t="n">
        <v>2</v>
      </c>
      <c r="I49" s="11" t="n">
        <v>2</v>
      </c>
      <c r="J49" s="11"/>
      <c r="K49" s="13"/>
      <c r="L49" s="13" t="n">
        <v>151</v>
      </c>
      <c r="M49" s="14" t="n">
        <f aca="false">IF(B49="Surry Hills",2.5,IF(B49="Strathfield",14,IF(B49="Campbelltown",54,"")))</f>
        <v>2.5</v>
      </c>
      <c r="N49" s="11"/>
      <c r="O49" s="11"/>
      <c r="P49" s="11" t="s">
        <v>206</v>
      </c>
      <c r="Q49" s="11"/>
    </row>
    <row r="50" customFormat="false" ht="15" hidden="false" customHeight="true" outlineLevel="0" collapsed="false">
      <c r="A50" s="11" t="s">
        <v>207</v>
      </c>
      <c r="B50" s="11" t="s">
        <v>58</v>
      </c>
      <c r="C50" s="11" t="str">
        <f aca="false">IF(B50="Surry Hills","Inner",IF(B50="Strathfield","Middle",IF(B50="Campbelltown","Outer","")))</f>
        <v>Inner</v>
      </c>
      <c r="D50" s="11" t="s">
        <v>208</v>
      </c>
      <c r="E50" s="12" t="n">
        <v>2010000</v>
      </c>
      <c r="F50" s="11" t="s">
        <v>209</v>
      </c>
      <c r="G50" s="11" t="s">
        <v>81</v>
      </c>
      <c r="H50" s="11" t="n">
        <v>3</v>
      </c>
      <c r="I50" s="11" t="n">
        <v>1</v>
      </c>
      <c r="J50" s="11"/>
      <c r="K50" s="13" t="n">
        <v>83</v>
      </c>
      <c r="L50" s="13"/>
      <c r="M50" s="14" t="n">
        <f aca="false">IF(B50="Surry Hills",2.5,IF(B50="Strathfield",14,IF(B50="Campbelltown",54,"")))</f>
        <v>2.5</v>
      </c>
      <c r="N50" s="11"/>
      <c r="O50" s="11"/>
      <c r="P50" s="11" t="s">
        <v>82</v>
      </c>
      <c r="Q50" s="11"/>
    </row>
    <row r="51" customFormat="false" ht="15" hidden="false" customHeight="true" outlineLevel="0" collapsed="false">
      <c r="A51" s="11" t="s">
        <v>210</v>
      </c>
      <c r="B51" s="11" t="s">
        <v>58</v>
      </c>
      <c r="C51" s="11" t="str">
        <f aca="false">IF(B51="Surry Hills","Inner",IF(B51="Strathfield","Middle",IF(B51="Campbelltown","Outer","")))</f>
        <v>Inner</v>
      </c>
      <c r="D51" s="11" t="s">
        <v>211</v>
      </c>
      <c r="E51" s="12" t="n">
        <v>390000</v>
      </c>
      <c r="F51" s="11" t="s">
        <v>209</v>
      </c>
      <c r="G51" s="11" t="s">
        <v>61</v>
      </c>
      <c r="H51" s="11" t="n">
        <v>1</v>
      </c>
      <c r="I51" s="11"/>
      <c r="J51" s="11"/>
      <c r="K51" s="13"/>
      <c r="L51" s="13" t="n">
        <v>28</v>
      </c>
      <c r="M51" s="14" t="n">
        <f aca="false">IF(B51="Surry Hills",2.5,IF(B51="Strathfield",14,IF(B51="Campbelltown",54,"")))</f>
        <v>2.5</v>
      </c>
      <c r="N51" s="11"/>
      <c r="O51" s="11"/>
      <c r="P51" s="11" t="s">
        <v>67</v>
      </c>
      <c r="Q51" s="11"/>
    </row>
    <row r="52" customFormat="false" ht="15" hidden="false" customHeight="true" outlineLevel="0" collapsed="false">
      <c r="A52" s="11" t="s">
        <v>212</v>
      </c>
      <c r="B52" s="11" t="s">
        <v>58</v>
      </c>
      <c r="C52" s="11" t="str">
        <f aca="false">IF(B52="Surry Hills","Inner",IF(B52="Strathfield","Middle",IF(B52="Campbelltown","Outer","")))</f>
        <v>Inner</v>
      </c>
      <c r="D52" s="11" t="s">
        <v>213</v>
      </c>
      <c r="E52" s="12" t="n">
        <v>2400000</v>
      </c>
      <c r="F52" s="11" t="s">
        <v>214</v>
      </c>
      <c r="G52" s="11" t="s">
        <v>81</v>
      </c>
      <c r="H52" s="11" t="n">
        <v>3</v>
      </c>
      <c r="I52" s="11" t="n">
        <v>2</v>
      </c>
      <c r="J52" s="11"/>
      <c r="K52" s="13" t="n">
        <v>127</v>
      </c>
      <c r="L52" s="13"/>
      <c r="M52" s="14" t="n">
        <f aca="false">IF(B52="Surry Hills",2.5,IF(B52="Strathfield",14,IF(B52="Campbelltown",54,"")))</f>
        <v>2.5</v>
      </c>
      <c r="N52" s="11"/>
      <c r="O52" s="11"/>
      <c r="P52" s="11" t="s">
        <v>82</v>
      </c>
      <c r="Q52" s="11"/>
    </row>
    <row r="53" customFormat="false" ht="15" hidden="false" customHeight="true" outlineLevel="0" collapsed="false">
      <c r="A53" s="11" t="s">
        <v>215</v>
      </c>
      <c r="B53" s="11" t="s">
        <v>58</v>
      </c>
      <c r="C53" s="11" t="str">
        <f aca="false">IF(B53="Surry Hills","Inner",IF(B53="Strathfield","Middle",IF(B53="Campbelltown","Outer","")))</f>
        <v>Inner</v>
      </c>
      <c r="D53" s="11" t="s">
        <v>216</v>
      </c>
      <c r="E53" s="12" t="n">
        <v>2655000</v>
      </c>
      <c r="F53" s="11" t="s">
        <v>217</v>
      </c>
      <c r="G53" s="11" t="s">
        <v>81</v>
      </c>
      <c r="H53" s="11" t="n">
        <v>3</v>
      </c>
      <c r="I53" s="11" t="n">
        <v>1</v>
      </c>
      <c r="J53" s="11"/>
      <c r="K53" s="13" t="n">
        <v>107</v>
      </c>
      <c r="L53" s="13"/>
      <c r="M53" s="14" t="n">
        <f aca="false">IF(B53="Surry Hills",2.5,IF(B53="Strathfield",14,IF(B53="Campbelltown",54,"")))</f>
        <v>2.5</v>
      </c>
      <c r="N53" s="11"/>
      <c r="O53" s="11"/>
      <c r="P53" s="11" t="s">
        <v>82</v>
      </c>
      <c r="Q53" s="11"/>
    </row>
    <row r="54" customFormat="false" ht="15" hidden="false" customHeight="true" outlineLevel="0" collapsed="false">
      <c r="A54" s="11" t="s">
        <v>218</v>
      </c>
      <c r="B54" s="11" t="s">
        <v>58</v>
      </c>
      <c r="C54" s="11" t="str">
        <f aca="false">IF(B54="Surry Hills","Inner",IF(B54="Strathfield","Middle",IF(B54="Campbelltown","Outer","")))</f>
        <v>Inner</v>
      </c>
      <c r="D54" s="11" t="s">
        <v>219</v>
      </c>
      <c r="E54" s="12" t="n">
        <v>1010000</v>
      </c>
      <c r="F54" s="11" t="s">
        <v>220</v>
      </c>
      <c r="G54" s="11" t="s">
        <v>61</v>
      </c>
      <c r="H54" s="11" t="n">
        <v>1</v>
      </c>
      <c r="I54" s="11" t="n">
        <v>1</v>
      </c>
      <c r="J54" s="11" t="n">
        <v>1</v>
      </c>
      <c r="K54" s="13"/>
      <c r="L54" s="13" t="n">
        <v>86</v>
      </c>
      <c r="M54" s="14" t="n">
        <f aca="false">IF(B54="Surry Hills",2.5,IF(B54="Strathfield",14,IF(B54="Campbelltown",54,"")))</f>
        <v>2.5</v>
      </c>
      <c r="N54" s="11"/>
      <c r="O54" s="11"/>
      <c r="P54" s="11" t="s">
        <v>71</v>
      </c>
      <c r="Q54" s="11"/>
    </row>
    <row r="55" customFormat="false" ht="15" hidden="false" customHeight="true" outlineLevel="0" collapsed="false">
      <c r="A55" s="11" t="s">
        <v>221</v>
      </c>
      <c r="B55" s="11" t="s">
        <v>58</v>
      </c>
      <c r="C55" s="11" t="str">
        <f aca="false">IF(B55="Surry Hills","Inner",IF(B55="Strathfield","Middle",IF(B55="Campbelltown","Outer","")))</f>
        <v>Inner</v>
      </c>
      <c r="D55" s="11" t="s">
        <v>222</v>
      </c>
      <c r="E55" s="12" t="n">
        <v>3000000</v>
      </c>
      <c r="F55" s="11" t="s">
        <v>223</v>
      </c>
      <c r="G55" s="11" t="s">
        <v>81</v>
      </c>
      <c r="H55" s="11" t="n">
        <v>3</v>
      </c>
      <c r="I55" s="11" t="n">
        <v>2</v>
      </c>
      <c r="J55" s="11"/>
      <c r="K55" s="13" t="n">
        <v>99</v>
      </c>
      <c r="L55" s="13"/>
      <c r="M55" s="14" t="n">
        <f aca="false">IF(B55="Surry Hills",2.5,IF(B55="Strathfield",14,IF(B55="Campbelltown",54,"")))</f>
        <v>2.5</v>
      </c>
      <c r="N55" s="11"/>
      <c r="O55" s="11"/>
      <c r="P55" s="11" t="s">
        <v>82</v>
      </c>
      <c r="Q55" s="11"/>
    </row>
    <row r="56" customFormat="false" ht="15" hidden="false" customHeight="true" outlineLevel="0" collapsed="false">
      <c r="A56" s="11" t="s">
        <v>224</v>
      </c>
      <c r="B56" s="11" t="s">
        <v>58</v>
      </c>
      <c r="C56" s="11" t="str">
        <f aca="false">IF(B56="Surry Hills","Inner",IF(B56="Strathfield","Middle",IF(B56="Campbelltown","Outer","")))</f>
        <v>Inner</v>
      </c>
      <c r="D56" s="11" t="s">
        <v>225</v>
      </c>
      <c r="E56" s="12" t="n">
        <v>2250000</v>
      </c>
      <c r="F56" s="11" t="s">
        <v>226</v>
      </c>
      <c r="G56" s="11" t="s">
        <v>81</v>
      </c>
      <c r="H56" s="11" t="n">
        <v>6</v>
      </c>
      <c r="I56" s="11" t="n">
        <v>5</v>
      </c>
      <c r="J56" s="11"/>
      <c r="K56" s="13" t="n">
        <v>77</v>
      </c>
      <c r="L56" s="13"/>
      <c r="M56" s="14" t="n">
        <f aca="false">IF(B56="Surry Hills",2.5,IF(B56="Strathfield",14,IF(B56="Campbelltown",54,"")))</f>
        <v>2.5</v>
      </c>
      <c r="N56" s="11"/>
      <c r="O56" s="11"/>
      <c r="P56" s="11" t="s">
        <v>82</v>
      </c>
      <c r="Q56" s="11"/>
    </row>
    <row r="57" customFormat="false" ht="15" hidden="false" customHeight="true" outlineLevel="0" collapsed="false">
      <c r="A57" s="11" t="s">
        <v>227</v>
      </c>
      <c r="B57" s="11" t="s">
        <v>58</v>
      </c>
      <c r="C57" s="11" t="str">
        <f aca="false">IF(B57="Surry Hills","Inner",IF(B57="Strathfield","Middle",IF(B57="Campbelltown","Outer","")))</f>
        <v>Inner</v>
      </c>
      <c r="D57" s="11" t="s">
        <v>228</v>
      </c>
      <c r="E57" s="12" t="n">
        <v>859000</v>
      </c>
      <c r="F57" s="11" t="s">
        <v>229</v>
      </c>
      <c r="G57" s="11" t="s">
        <v>61</v>
      </c>
      <c r="H57" s="11" t="n">
        <v>1</v>
      </c>
      <c r="I57" s="11" t="n">
        <v>1</v>
      </c>
      <c r="J57" s="11"/>
      <c r="K57" s="13"/>
      <c r="L57" s="13" t="n">
        <v>52</v>
      </c>
      <c r="M57" s="14" t="n">
        <f aca="false">IF(B57="Surry Hills",2.5,IF(B57="Strathfield",14,IF(B57="Campbelltown",54,"")))</f>
        <v>2.5</v>
      </c>
      <c r="N57" s="11"/>
      <c r="O57" s="11"/>
      <c r="P57" s="11" t="s">
        <v>71</v>
      </c>
      <c r="Q57" s="11"/>
    </row>
    <row r="58" customFormat="false" ht="15" hidden="false" customHeight="true" outlineLevel="0" collapsed="false">
      <c r="A58" s="11" t="s">
        <v>230</v>
      </c>
      <c r="B58" s="11" t="s">
        <v>58</v>
      </c>
      <c r="C58" s="11" t="str">
        <f aca="false">IF(B58="Surry Hills","Inner",IF(B58="Strathfield","Middle",IF(B58="Campbelltown","Outer","")))</f>
        <v>Inner</v>
      </c>
      <c r="D58" s="11" t="s">
        <v>231</v>
      </c>
      <c r="E58" s="12" t="n">
        <v>2210000</v>
      </c>
      <c r="F58" s="11" t="s">
        <v>232</v>
      </c>
      <c r="G58" s="11" t="s">
        <v>61</v>
      </c>
      <c r="H58" s="11" t="n">
        <v>2</v>
      </c>
      <c r="I58" s="11" t="n">
        <v>2</v>
      </c>
      <c r="J58" s="11" t="n">
        <v>1</v>
      </c>
      <c r="K58" s="13"/>
      <c r="L58" s="13" t="n">
        <v>98</v>
      </c>
      <c r="M58" s="14" t="n">
        <f aca="false">IF(B58="Surry Hills",2.5,IF(B58="Strathfield",14,IF(B58="Campbelltown",54,"")))</f>
        <v>2.5</v>
      </c>
      <c r="N58" s="11"/>
      <c r="O58" s="11"/>
      <c r="P58" s="11" t="s">
        <v>71</v>
      </c>
      <c r="Q58" s="11"/>
    </row>
    <row r="59" customFormat="false" ht="15" hidden="false" customHeight="true" outlineLevel="0" collapsed="false">
      <c r="A59" s="11" t="s">
        <v>233</v>
      </c>
      <c r="B59" s="11" t="s">
        <v>58</v>
      </c>
      <c r="C59" s="11" t="str">
        <f aca="false">IF(B59="Surry Hills","Inner",IF(B59="Strathfield","Middle",IF(B59="Campbelltown","Outer","")))</f>
        <v>Inner</v>
      </c>
      <c r="D59" s="11" t="s">
        <v>234</v>
      </c>
      <c r="E59" s="12" t="n">
        <v>2700000</v>
      </c>
      <c r="F59" s="11" t="s">
        <v>235</v>
      </c>
      <c r="G59" s="11" t="s">
        <v>81</v>
      </c>
      <c r="H59" s="11" t="n">
        <v>4</v>
      </c>
      <c r="I59" s="11" t="n">
        <v>2</v>
      </c>
      <c r="J59" s="11"/>
      <c r="K59" s="13" t="n">
        <v>107</v>
      </c>
      <c r="L59" s="13"/>
      <c r="M59" s="14" t="n">
        <f aca="false">IF(B59="Surry Hills",2.5,IF(B59="Strathfield",14,IF(B59="Campbelltown",54,"")))</f>
        <v>2.5</v>
      </c>
      <c r="N59" s="11"/>
      <c r="O59" s="11"/>
      <c r="P59" s="11" t="s">
        <v>82</v>
      </c>
      <c r="Q59" s="11"/>
    </row>
    <row r="60" customFormat="false" ht="15" hidden="false" customHeight="true" outlineLevel="0" collapsed="false">
      <c r="A60" s="11" t="s">
        <v>236</v>
      </c>
      <c r="B60" s="11" t="s">
        <v>58</v>
      </c>
      <c r="C60" s="11" t="str">
        <f aca="false">IF(B60="Surry Hills","Inner",IF(B60="Strathfield","Middle",IF(B60="Campbelltown","Outer","")))</f>
        <v>Inner</v>
      </c>
      <c r="D60" s="11" t="s">
        <v>237</v>
      </c>
      <c r="E60" s="12" t="n">
        <v>865000</v>
      </c>
      <c r="F60" s="11" t="s">
        <v>238</v>
      </c>
      <c r="G60" s="11" t="s">
        <v>61</v>
      </c>
      <c r="H60" s="11" t="n">
        <v>1</v>
      </c>
      <c r="I60" s="11" t="n">
        <v>1</v>
      </c>
      <c r="J60" s="11" t="n">
        <v>1</v>
      </c>
      <c r="K60" s="13"/>
      <c r="L60" s="13" t="n">
        <v>106</v>
      </c>
      <c r="M60" s="14" t="n">
        <f aca="false">IF(B60="Surry Hills",2.5,IF(B60="Strathfield",14,IF(B60="Campbelltown",54,"")))</f>
        <v>2.5</v>
      </c>
      <c r="N60" s="11"/>
      <c r="O60" s="11"/>
      <c r="P60" s="11" t="s">
        <v>71</v>
      </c>
      <c r="Q60" s="11"/>
    </row>
    <row r="61" customFormat="false" ht="15" hidden="false" customHeight="true" outlineLevel="0" collapsed="false">
      <c r="A61" s="11" t="s">
        <v>239</v>
      </c>
      <c r="B61" s="11" t="s">
        <v>58</v>
      </c>
      <c r="C61" s="11" t="str">
        <f aca="false">IF(B61="Surry Hills","Inner",IF(B61="Strathfield","Middle",IF(B61="Campbelltown","Outer","")))</f>
        <v>Inner</v>
      </c>
      <c r="D61" s="11" t="s">
        <v>240</v>
      </c>
      <c r="E61" s="12" t="n">
        <v>308000</v>
      </c>
      <c r="F61" s="11" t="s">
        <v>241</v>
      </c>
      <c r="G61" s="11" t="s">
        <v>61</v>
      </c>
      <c r="H61" s="11" t="n">
        <v>1</v>
      </c>
      <c r="I61" s="11"/>
      <c r="J61" s="11"/>
      <c r="K61" s="13"/>
      <c r="L61" s="13" t="n">
        <v>16</v>
      </c>
      <c r="M61" s="14" t="n">
        <f aca="false">IF(B61="Surry Hills",2.5,IF(B61="Strathfield",14,IF(B61="Campbelltown",54,"")))</f>
        <v>2.5</v>
      </c>
      <c r="N61" s="11"/>
      <c r="O61" s="11"/>
      <c r="P61" s="11" t="s">
        <v>67</v>
      </c>
      <c r="Q61" s="11"/>
    </row>
    <row r="62" customFormat="false" ht="15" hidden="false" customHeight="true" outlineLevel="0" collapsed="false">
      <c r="A62" s="11" t="s">
        <v>242</v>
      </c>
      <c r="B62" s="11" t="s">
        <v>58</v>
      </c>
      <c r="C62" s="11" t="str">
        <f aca="false">IF(B62="Surry Hills","Inner",IF(B62="Strathfield","Middle",IF(B62="Campbelltown","Outer","")))</f>
        <v>Inner</v>
      </c>
      <c r="D62" s="11" t="s">
        <v>243</v>
      </c>
      <c r="E62" s="12" t="n">
        <v>2675000</v>
      </c>
      <c r="F62" s="11" t="s">
        <v>244</v>
      </c>
      <c r="G62" s="11" t="s">
        <v>81</v>
      </c>
      <c r="H62" s="11" t="n">
        <v>3</v>
      </c>
      <c r="I62" s="11" t="n">
        <v>1</v>
      </c>
      <c r="J62" s="11"/>
      <c r="K62" s="13" t="n">
        <v>85</v>
      </c>
      <c r="L62" s="13"/>
      <c r="M62" s="14" t="n">
        <f aca="false">IF(B62="Surry Hills",2.5,IF(B62="Strathfield",14,IF(B62="Campbelltown",54,"")))</f>
        <v>2.5</v>
      </c>
      <c r="N62" s="11"/>
      <c r="O62" s="11"/>
      <c r="P62" s="11" t="s">
        <v>82</v>
      </c>
      <c r="Q62" s="11"/>
    </row>
    <row r="63" customFormat="false" ht="15" hidden="false" customHeight="true" outlineLevel="0" collapsed="false">
      <c r="A63" s="11" t="s">
        <v>245</v>
      </c>
      <c r="B63" s="11" t="s">
        <v>58</v>
      </c>
      <c r="C63" s="11" t="str">
        <f aca="false">IF(B63="Surry Hills","Inner",IF(B63="Strathfield","Middle",IF(B63="Campbelltown","Outer","")))</f>
        <v>Inner</v>
      </c>
      <c r="D63" s="11" t="s">
        <v>246</v>
      </c>
      <c r="E63" s="12" t="n">
        <v>1360000</v>
      </c>
      <c r="F63" s="11" t="s">
        <v>247</v>
      </c>
      <c r="G63" s="11" t="s">
        <v>61</v>
      </c>
      <c r="H63" s="11" t="n">
        <v>1</v>
      </c>
      <c r="I63" s="11" t="n">
        <v>1</v>
      </c>
      <c r="J63" s="11" t="n">
        <v>1</v>
      </c>
      <c r="K63" s="13"/>
      <c r="L63" s="13" t="n">
        <v>82</v>
      </c>
      <c r="M63" s="14" t="n">
        <f aca="false">IF(B63="Surry Hills",2.5,IF(B63="Strathfield",14,IF(B63="Campbelltown",54,"")))</f>
        <v>2.5</v>
      </c>
      <c r="N63" s="11"/>
      <c r="O63" s="11"/>
      <c r="P63" s="11" t="s">
        <v>71</v>
      </c>
      <c r="Q63" s="11"/>
    </row>
    <row r="64" customFormat="false" ht="15" hidden="false" customHeight="true" outlineLevel="0" collapsed="false">
      <c r="A64" s="11" t="s">
        <v>248</v>
      </c>
      <c r="B64" s="11" t="s">
        <v>249</v>
      </c>
      <c r="C64" s="11" t="str">
        <f aca="false">IF(B64="Surry Hills","Inner",IF(B64="Strathfield","Middle",IF(B64="Campbelltown","Outer","")))</f>
        <v>Middle</v>
      </c>
      <c r="D64" s="11" t="s">
        <v>250</v>
      </c>
      <c r="E64" s="12" t="n">
        <v>3750000</v>
      </c>
      <c r="F64" s="11" t="s">
        <v>251</v>
      </c>
      <c r="G64" s="11" t="s">
        <v>81</v>
      </c>
      <c r="H64" s="11" t="n">
        <v>4</v>
      </c>
      <c r="I64" s="11" t="n">
        <v>2</v>
      </c>
      <c r="J64" s="11" t="n">
        <v>5</v>
      </c>
      <c r="K64" s="13" t="n">
        <v>954.8</v>
      </c>
      <c r="L64" s="13"/>
      <c r="M64" s="14" t="n">
        <f aca="false">IF(B64="Surry Hills",2.5,IF(B64="Strathfield",14,IF(B64="Campbelltown",54,"")))</f>
        <v>14</v>
      </c>
      <c r="N64" s="11"/>
      <c r="O64" s="11"/>
      <c r="P64" s="11" t="s">
        <v>82</v>
      </c>
      <c r="Q64" s="11"/>
    </row>
    <row r="65" customFormat="false" ht="15" hidden="false" customHeight="true" outlineLevel="0" collapsed="false">
      <c r="A65" s="11" t="s">
        <v>252</v>
      </c>
      <c r="B65" s="11" t="s">
        <v>249</v>
      </c>
      <c r="C65" s="11" t="str">
        <f aca="false">IF(B65="Surry Hills","Inner",IF(B65="Strathfield","Middle",IF(B65="Campbelltown","Outer","")))</f>
        <v>Middle</v>
      </c>
      <c r="D65" s="11" t="s">
        <v>253</v>
      </c>
      <c r="E65" s="12" t="n">
        <v>3325000</v>
      </c>
      <c r="F65" s="11" t="s">
        <v>254</v>
      </c>
      <c r="G65" s="11" t="s">
        <v>81</v>
      </c>
      <c r="H65" s="11" t="n">
        <v>3</v>
      </c>
      <c r="I65" s="11" t="n">
        <v>2</v>
      </c>
      <c r="J65" s="11" t="n">
        <v>2</v>
      </c>
      <c r="K65" s="13" t="n">
        <v>599</v>
      </c>
      <c r="L65" s="13"/>
      <c r="M65" s="14" t="n">
        <f aca="false">IF(B65="Surry Hills",2.5,IF(B65="Strathfield",14,IF(B65="Campbelltown",54,"")))</f>
        <v>14</v>
      </c>
      <c r="N65" s="11"/>
      <c r="O65" s="11"/>
      <c r="P65" s="11" t="s">
        <v>82</v>
      </c>
      <c r="Q65" s="11"/>
    </row>
    <row r="66" customFormat="false" ht="15" hidden="false" customHeight="true" outlineLevel="0" collapsed="false">
      <c r="A66" s="11" t="s">
        <v>255</v>
      </c>
      <c r="B66" s="11" t="s">
        <v>249</v>
      </c>
      <c r="C66" s="11" t="str">
        <f aca="false">IF(B66="Surry Hills","Inner",IF(B66="Strathfield","Middle",IF(B66="Campbelltown","Outer","")))</f>
        <v>Middle</v>
      </c>
      <c r="D66" s="11" t="s">
        <v>256</v>
      </c>
      <c r="E66" s="12" t="n">
        <v>1520008</v>
      </c>
      <c r="F66" s="11" t="s">
        <v>257</v>
      </c>
      <c r="G66" s="11" t="s">
        <v>258</v>
      </c>
      <c r="H66" s="11" t="n">
        <v>3</v>
      </c>
      <c r="I66" s="11" t="n">
        <v>2</v>
      </c>
      <c r="J66" s="11" t="n">
        <v>1</v>
      </c>
      <c r="K66" s="13"/>
      <c r="L66" s="13" t="n">
        <v>176</v>
      </c>
      <c r="M66" s="14" t="n">
        <f aca="false">IF(B66="Surry Hills",2.5,IF(B66="Strathfield",14,IF(B66="Campbelltown",54,"")))</f>
        <v>14</v>
      </c>
      <c r="N66" s="11"/>
      <c r="O66" s="11"/>
      <c r="P66" s="11" t="s">
        <v>259</v>
      </c>
      <c r="Q66" s="11"/>
    </row>
    <row r="67" customFormat="false" ht="15" hidden="false" customHeight="true" outlineLevel="0" collapsed="false">
      <c r="A67" s="11" t="s">
        <v>260</v>
      </c>
      <c r="B67" s="11" t="s">
        <v>249</v>
      </c>
      <c r="C67" s="11" t="str">
        <f aca="false">IF(B67="Surry Hills","Inner",IF(B67="Strathfield","Middle",IF(B67="Campbelltown","Outer","")))</f>
        <v>Middle</v>
      </c>
      <c r="D67" s="11" t="s">
        <v>261</v>
      </c>
      <c r="E67" s="12" t="n">
        <v>5580000</v>
      </c>
      <c r="F67" s="11" t="s">
        <v>262</v>
      </c>
      <c r="G67" s="11" t="s">
        <v>81</v>
      </c>
      <c r="H67" s="11" t="n">
        <v>5</v>
      </c>
      <c r="I67" s="11" t="n">
        <v>3</v>
      </c>
      <c r="J67" s="11" t="n">
        <v>3</v>
      </c>
      <c r="K67" s="13" t="n">
        <v>784.1</v>
      </c>
      <c r="L67" s="13"/>
      <c r="M67" s="14" t="n">
        <f aca="false">IF(B67="Surry Hills",2.5,IF(B67="Strathfield",14,IF(B67="Campbelltown",54,"")))</f>
        <v>14</v>
      </c>
      <c r="N67" s="11"/>
      <c r="O67" s="11"/>
      <c r="P67" s="11" t="s">
        <v>82</v>
      </c>
      <c r="Q67" s="11"/>
    </row>
    <row r="68" customFormat="false" ht="15" hidden="false" customHeight="true" outlineLevel="0" collapsed="false">
      <c r="A68" s="11" t="s">
        <v>263</v>
      </c>
      <c r="B68" s="11" t="s">
        <v>249</v>
      </c>
      <c r="C68" s="11" t="str">
        <f aca="false">IF(B68="Surry Hills","Inner",IF(B68="Strathfield","Middle",IF(B68="Campbelltown","Outer","")))</f>
        <v>Middle</v>
      </c>
      <c r="D68" s="11" t="s">
        <v>264</v>
      </c>
      <c r="E68" s="12" t="n">
        <v>5550000</v>
      </c>
      <c r="F68" s="11" t="s">
        <v>74</v>
      </c>
      <c r="G68" s="11" t="s">
        <v>81</v>
      </c>
      <c r="H68" s="11" t="n">
        <v>5</v>
      </c>
      <c r="I68" s="11" t="n">
        <v>4</v>
      </c>
      <c r="J68" s="11" t="n">
        <v>2</v>
      </c>
      <c r="K68" s="13" t="n">
        <v>731.3</v>
      </c>
      <c r="L68" s="13"/>
      <c r="M68" s="14" t="n">
        <f aca="false">IF(B68="Surry Hills",2.5,IF(B68="Strathfield",14,IF(B68="Campbelltown",54,"")))</f>
        <v>14</v>
      </c>
      <c r="N68" s="11"/>
      <c r="O68" s="11"/>
      <c r="P68" s="11" t="s">
        <v>82</v>
      </c>
      <c r="Q68" s="11"/>
    </row>
    <row r="69" customFormat="false" ht="15" hidden="false" customHeight="true" outlineLevel="0" collapsed="false">
      <c r="A69" s="11" t="s">
        <v>265</v>
      </c>
      <c r="B69" s="11" t="s">
        <v>249</v>
      </c>
      <c r="C69" s="11" t="str">
        <f aca="false">IF(B69="Surry Hills","Inner",IF(B69="Strathfield","Middle",IF(B69="Campbelltown","Outer","")))</f>
        <v>Middle</v>
      </c>
      <c r="D69" s="11" t="s">
        <v>266</v>
      </c>
      <c r="E69" s="12" t="n">
        <v>6210000</v>
      </c>
      <c r="F69" s="11" t="s">
        <v>267</v>
      </c>
      <c r="G69" s="11" t="s">
        <v>81</v>
      </c>
      <c r="H69" s="11" t="n">
        <v>5</v>
      </c>
      <c r="I69" s="11" t="n">
        <v>3</v>
      </c>
      <c r="J69" s="11" t="n">
        <v>4</v>
      </c>
      <c r="K69" s="13" t="n">
        <v>1018</v>
      </c>
      <c r="L69" s="13"/>
      <c r="M69" s="14" t="n">
        <f aca="false">IF(B69="Surry Hills",2.5,IF(B69="Strathfield",14,IF(B69="Campbelltown",54,"")))</f>
        <v>14</v>
      </c>
      <c r="N69" s="11"/>
      <c r="O69" s="11"/>
      <c r="P69" s="11" t="s">
        <v>82</v>
      </c>
      <c r="Q69" s="11"/>
    </row>
    <row r="70" customFormat="false" ht="15" hidden="false" customHeight="true" outlineLevel="0" collapsed="false">
      <c r="A70" s="11" t="s">
        <v>268</v>
      </c>
      <c r="B70" s="11" t="s">
        <v>249</v>
      </c>
      <c r="C70" s="11" t="str">
        <f aca="false">IF(B70="Surry Hills","Inner",IF(B70="Strathfield","Middle",IF(B70="Campbelltown","Outer","")))</f>
        <v>Middle</v>
      </c>
      <c r="D70" s="11" t="s">
        <v>269</v>
      </c>
      <c r="E70" s="12" t="n">
        <v>6936000</v>
      </c>
      <c r="F70" s="11" t="s">
        <v>80</v>
      </c>
      <c r="G70" s="11" t="s">
        <v>81</v>
      </c>
      <c r="H70" s="11" t="n">
        <v>5</v>
      </c>
      <c r="I70" s="11" t="n">
        <v>5</v>
      </c>
      <c r="J70" s="11" t="n">
        <v>3</v>
      </c>
      <c r="K70" s="13" t="n">
        <v>676.6</v>
      </c>
      <c r="L70" s="13"/>
      <c r="M70" s="14" t="n">
        <f aca="false">IF(B70="Surry Hills",2.5,IF(B70="Strathfield",14,IF(B70="Campbelltown",54,"")))</f>
        <v>14</v>
      </c>
      <c r="N70" s="11"/>
      <c r="O70" s="11"/>
      <c r="P70" s="11" t="s">
        <v>82</v>
      </c>
      <c r="Q70" s="11"/>
    </row>
    <row r="71" customFormat="false" ht="15" hidden="false" customHeight="true" outlineLevel="0" collapsed="false">
      <c r="A71" s="11" t="s">
        <v>270</v>
      </c>
      <c r="B71" s="11" t="s">
        <v>249</v>
      </c>
      <c r="C71" s="11" t="str">
        <f aca="false">IF(B71="Surry Hills","Inner",IF(B71="Strathfield","Middle",IF(B71="Campbelltown","Outer","")))</f>
        <v>Middle</v>
      </c>
      <c r="D71" s="11" t="s">
        <v>271</v>
      </c>
      <c r="E71" s="12" t="n">
        <v>757000</v>
      </c>
      <c r="F71" s="11" t="s">
        <v>85</v>
      </c>
      <c r="G71" s="11" t="s">
        <v>61</v>
      </c>
      <c r="H71" s="11" t="n">
        <v>2</v>
      </c>
      <c r="I71" s="11" t="n">
        <v>1</v>
      </c>
      <c r="J71" s="11" t="n">
        <v>1</v>
      </c>
      <c r="K71" s="13"/>
      <c r="L71" s="13" t="n">
        <v>129</v>
      </c>
      <c r="M71" s="14" t="n">
        <f aca="false">IF(B71="Surry Hills",2.5,IF(B71="Strathfield",14,IF(B71="Campbelltown",54,"")))</f>
        <v>14</v>
      </c>
      <c r="N71" s="11"/>
      <c r="O71" s="11"/>
      <c r="P71" s="11" t="s">
        <v>71</v>
      </c>
      <c r="Q71" s="11"/>
    </row>
    <row r="72" customFormat="false" ht="15" hidden="false" customHeight="true" outlineLevel="0" collapsed="false">
      <c r="A72" s="11" t="s">
        <v>272</v>
      </c>
      <c r="B72" s="11" t="s">
        <v>249</v>
      </c>
      <c r="C72" s="11" t="str">
        <f aca="false">IF(B72="Surry Hills","Inner",IF(B72="Strathfield","Middle",IF(B72="Campbelltown","Outer","")))</f>
        <v>Middle</v>
      </c>
      <c r="D72" s="11" t="s">
        <v>273</v>
      </c>
      <c r="E72" s="12" t="n">
        <v>5205000</v>
      </c>
      <c r="F72" s="11" t="s">
        <v>274</v>
      </c>
      <c r="G72" s="11" t="s">
        <v>81</v>
      </c>
      <c r="H72" s="11" t="n">
        <v>5</v>
      </c>
      <c r="I72" s="11" t="n">
        <v>2</v>
      </c>
      <c r="J72" s="11" t="n">
        <v>4</v>
      </c>
      <c r="K72" s="13" t="n">
        <v>771</v>
      </c>
      <c r="L72" s="13"/>
      <c r="M72" s="14" t="n">
        <f aca="false">IF(B72="Surry Hills",2.5,IF(B72="Strathfield",14,IF(B72="Campbelltown",54,"")))</f>
        <v>14</v>
      </c>
      <c r="N72" s="11"/>
      <c r="O72" s="11"/>
      <c r="P72" s="11" t="s">
        <v>82</v>
      </c>
      <c r="Q72" s="11"/>
    </row>
    <row r="73" customFormat="false" ht="15" hidden="false" customHeight="true" outlineLevel="0" collapsed="false">
      <c r="A73" s="11" t="s">
        <v>275</v>
      </c>
      <c r="B73" s="11" t="s">
        <v>249</v>
      </c>
      <c r="C73" s="11" t="str">
        <f aca="false">IF(B73="Surry Hills","Inner",IF(B73="Strathfield","Middle",IF(B73="Campbelltown","Outer","")))</f>
        <v>Middle</v>
      </c>
      <c r="D73" s="11" t="s">
        <v>276</v>
      </c>
      <c r="E73" s="12" t="n">
        <v>3100000</v>
      </c>
      <c r="F73" s="11" t="s">
        <v>277</v>
      </c>
      <c r="G73" s="11" t="s">
        <v>81</v>
      </c>
      <c r="H73" s="11" t="n">
        <v>4</v>
      </c>
      <c r="I73" s="11" t="n">
        <v>2</v>
      </c>
      <c r="J73" s="11" t="n">
        <v>2</v>
      </c>
      <c r="K73" s="13" t="n">
        <v>696</v>
      </c>
      <c r="L73" s="13"/>
      <c r="M73" s="14" t="n">
        <f aca="false">IF(B73="Surry Hills",2.5,IF(B73="Strathfield",14,IF(B73="Campbelltown",54,"")))</f>
        <v>14</v>
      </c>
      <c r="N73" s="11"/>
      <c r="O73" s="11"/>
      <c r="P73" s="11" t="s">
        <v>82</v>
      </c>
      <c r="Q73" s="11"/>
    </row>
    <row r="74" customFormat="false" ht="15" hidden="false" customHeight="true" outlineLevel="0" collapsed="false">
      <c r="A74" s="11" t="s">
        <v>278</v>
      </c>
      <c r="B74" s="11" t="s">
        <v>249</v>
      </c>
      <c r="C74" s="11" t="str">
        <f aca="false">IF(B74="Surry Hills","Inner",IF(B74="Strathfield","Middle",IF(B74="Campbelltown","Outer","")))</f>
        <v>Middle</v>
      </c>
      <c r="D74" s="11" t="s">
        <v>279</v>
      </c>
      <c r="E74" s="12" t="n">
        <v>5025000</v>
      </c>
      <c r="F74" s="11" t="s">
        <v>280</v>
      </c>
      <c r="G74" s="11" t="s">
        <v>81</v>
      </c>
      <c r="H74" s="11" t="n">
        <v>6</v>
      </c>
      <c r="I74" s="11" t="n">
        <v>5</v>
      </c>
      <c r="J74" s="11" t="n">
        <v>4</v>
      </c>
      <c r="K74" s="13" t="n">
        <v>618.27</v>
      </c>
      <c r="L74" s="13"/>
      <c r="M74" s="14" t="n">
        <f aca="false">IF(B74="Surry Hills",2.5,IF(B74="Strathfield",14,IF(B74="Campbelltown",54,"")))</f>
        <v>14</v>
      </c>
      <c r="N74" s="11"/>
      <c r="O74" s="11"/>
      <c r="P74" s="11" t="s">
        <v>82</v>
      </c>
      <c r="Q74" s="11"/>
    </row>
    <row r="75" customFormat="false" ht="15" hidden="false" customHeight="true" outlineLevel="0" collapsed="false">
      <c r="A75" s="11" t="s">
        <v>281</v>
      </c>
      <c r="B75" s="11" t="s">
        <v>249</v>
      </c>
      <c r="C75" s="11" t="str">
        <f aca="false">IF(B75="Surry Hills","Inner",IF(B75="Strathfield","Middle",IF(B75="Campbelltown","Outer","")))</f>
        <v>Middle</v>
      </c>
      <c r="D75" s="11" t="s">
        <v>282</v>
      </c>
      <c r="E75" s="12" t="n">
        <v>9288888</v>
      </c>
      <c r="F75" s="11" t="s">
        <v>94</v>
      </c>
      <c r="G75" s="11" t="s">
        <v>81</v>
      </c>
      <c r="H75" s="11" t="n">
        <v>6</v>
      </c>
      <c r="I75" s="11" t="n">
        <v>6</v>
      </c>
      <c r="J75" s="11" t="n">
        <v>5</v>
      </c>
      <c r="K75" s="13" t="n">
        <v>653</v>
      </c>
      <c r="L75" s="13"/>
      <c r="M75" s="14" t="n">
        <f aca="false">IF(B75="Surry Hills",2.5,IF(B75="Strathfield",14,IF(B75="Campbelltown",54,"")))</f>
        <v>14</v>
      </c>
      <c r="N75" s="11"/>
      <c r="O75" s="11"/>
      <c r="P75" s="11" t="s">
        <v>82</v>
      </c>
      <c r="Q75" s="11"/>
    </row>
    <row r="76" customFormat="false" ht="15" hidden="false" customHeight="true" outlineLevel="0" collapsed="false">
      <c r="A76" s="11" t="s">
        <v>283</v>
      </c>
      <c r="B76" s="11" t="s">
        <v>249</v>
      </c>
      <c r="C76" s="11" t="str">
        <f aca="false">IF(B76="Surry Hills","Inner",IF(B76="Strathfield","Middle",IF(B76="Campbelltown","Outer","")))</f>
        <v>Middle</v>
      </c>
      <c r="D76" s="11" t="s">
        <v>284</v>
      </c>
      <c r="E76" s="12" t="n">
        <v>3580000</v>
      </c>
      <c r="F76" s="11" t="s">
        <v>285</v>
      </c>
      <c r="G76" s="11" t="s">
        <v>81</v>
      </c>
      <c r="H76" s="11" t="n">
        <v>4</v>
      </c>
      <c r="I76" s="11" t="n">
        <v>2</v>
      </c>
      <c r="J76" s="11" t="n">
        <v>3</v>
      </c>
      <c r="K76" s="13" t="n">
        <v>613</v>
      </c>
      <c r="L76" s="13"/>
      <c r="M76" s="14" t="n">
        <f aca="false">IF(B76="Surry Hills",2.5,IF(B76="Strathfield",14,IF(B76="Campbelltown",54,"")))</f>
        <v>14</v>
      </c>
      <c r="N76" s="11"/>
      <c r="O76" s="11"/>
      <c r="P76" s="11" t="s">
        <v>82</v>
      </c>
      <c r="Q76" s="11"/>
    </row>
    <row r="77" customFormat="false" ht="15" hidden="false" customHeight="true" outlineLevel="0" collapsed="false">
      <c r="A77" s="11" t="s">
        <v>286</v>
      </c>
      <c r="B77" s="11" t="s">
        <v>249</v>
      </c>
      <c r="C77" s="11" t="str">
        <f aca="false">IF(B77="Surry Hills","Inner",IF(B77="Strathfield","Middle",IF(B77="Campbelltown","Outer","")))</f>
        <v>Middle</v>
      </c>
      <c r="D77" s="11" t="s">
        <v>287</v>
      </c>
      <c r="E77" s="12" t="n">
        <v>710000</v>
      </c>
      <c r="F77" s="11" t="s">
        <v>100</v>
      </c>
      <c r="G77" s="11" t="s">
        <v>61</v>
      </c>
      <c r="H77" s="11" t="n">
        <v>2</v>
      </c>
      <c r="I77" s="11" t="n">
        <v>1</v>
      </c>
      <c r="J77" s="11" t="n">
        <v>1</v>
      </c>
      <c r="K77" s="13"/>
      <c r="L77" s="13" t="n">
        <v>138</v>
      </c>
      <c r="M77" s="14" t="n">
        <f aca="false">IF(B77="Surry Hills",2.5,IF(B77="Strathfield",14,IF(B77="Campbelltown",54,"")))</f>
        <v>14</v>
      </c>
      <c r="N77" s="11"/>
      <c r="O77" s="11"/>
      <c r="P77" s="11" t="s">
        <v>71</v>
      </c>
      <c r="Q77" s="11"/>
    </row>
    <row r="78" customFormat="false" ht="15" hidden="false" customHeight="true" outlineLevel="0" collapsed="false">
      <c r="A78" s="11" t="s">
        <v>288</v>
      </c>
      <c r="B78" s="11" t="s">
        <v>249</v>
      </c>
      <c r="C78" s="11" t="str">
        <f aca="false">IF(B78="Surry Hills","Inner",IF(B78="Strathfield","Middle",IF(B78="Campbelltown","Outer","")))</f>
        <v>Middle</v>
      </c>
      <c r="D78" s="11" t="s">
        <v>289</v>
      </c>
      <c r="E78" s="12" t="n">
        <v>3300000</v>
      </c>
      <c r="F78" s="11" t="s">
        <v>106</v>
      </c>
      <c r="G78" s="11" t="s">
        <v>81</v>
      </c>
      <c r="H78" s="11" t="n">
        <v>3</v>
      </c>
      <c r="I78" s="11" t="n">
        <v>1</v>
      </c>
      <c r="J78" s="11" t="n">
        <v>3</v>
      </c>
      <c r="K78" s="13" t="n">
        <v>663</v>
      </c>
      <c r="L78" s="13"/>
      <c r="M78" s="14" t="n">
        <f aca="false">IF(B78="Surry Hills",2.5,IF(B78="Strathfield",14,IF(B78="Campbelltown",54,"")))</f>
        <v>14</v>
      </c>
      <c r="N78" s="11"/>
      <c r="O78" s="11"/>
      <c r="P78" s="11" t="s">
        <v>82</v>
      </c>
      <c r="Q78" s="11"/>
    </row>
    <row r="79" customFormat="false" ht="15" hidden="false" customHeight="true" outlineLevel="0" collapsed="false">
      <c r="A79" s="11" t="s">
        <v>290</v>
      </c>
      <c r="B79" s="11" t="s">
        <v>249</v>
      </c>
      <c r="C79" s="11" t="str">
        <f aca="false">IF(B79="Surry Hills","Inner",IF(B79="Strathfield","Middle",IF(B79="Campbelltown","Outer","")))</f>
        <v>Middle</v>
      </c>
      <c r="D79" s="11" t="s">
        <v>291</v>
      </c>
      <c r="E79" s="12" t="n">
        <v>12050000</v>
      </c>
      <c r="F79" s="11" t="s">
        <v>292</v>
      </c>
      <c r="G79" s="11" t="s">
        <v>81</v>
      </c>
      <c r="H79" s="11" t="n">
        <v>7</v>
      </c>
      <c r="I79" s="11" t="n">
        <v>7</v>
      </c>
      <c r="J79" s="11" t="n">
        <v>6</v>
      </c>
      <c r="K79" s="13" t="n">
        <v>1416</v>
      </c>
      <c r="L79" s="13"/>
      <c r="M79" s="14" t="n">
        <f aca="false">IF(B79="Surry Hills",2.5,IF(B79="Strathfield",14,IF(B79="Campbelltown",54,"")))</f>
        <v>14</v>
      </c>
      <c r="N79" s="11"/>
      <c r="O79" s="11"/>
      <c r="P79" s="11" t="s">
        <v>82</v>
      </c>
      <c r="Q79" s="11"/>
    </row>
    <row r="80" customFormat="false" ht="15" hidden="false" customHeight="true" outlineLevel="0" collapsed="false">
      <c r="A80" s="11" t="s">
        <v>293</v>
      </c>
      <c r="B80" s="11" t="s">
        <v>249</v>
      </c>
      <c r="C80" s="11" t="str">
        <f aca="false">IF(B80="Surry Hills","Inner",IF(B80="Strathfield","Middle",IF(B80="Campbelltown","Outer","")))</f>
        <v>Middle</v>
      </c>
      <c r="D80" s="11" t="s">
        <v>294</v>
      </c>
      <c r="E80" s="12" t="n">
        <v>890000</v>
      </c>
      <c r="F80" s="11" t="s">
        <v>118</v>
      </c>
      <c r="G80" s="11" t="s">
        <v>61</v>
      </c>
      <c r="H80" s="11" t="n">
        <v>3</v>
      </c>
      <c r="I80" s="11" t="n">
        <v>1</v>
      </c>
      <c r="J80" s="11" t="n">
        <v>1</v>
      </c>
      <c r="K80" s="13"/>
      <c r="L80" s="13" t="n">
        <v>133</v>
      </c>
      <c r="M80" s="14" t="n">
        <f aca="false">IF(B80="Surry Hills",2.5,IF(B80="Strathfield",14,IF(B80="Campbelltown",54,"")))</f>
        <v>14</v>
      </c>
      <c r="N80" s="11"/>
      <c r="O80" s="11"/>
      <c r="P80" s="11" t="s">
        <v>71</v>
      </c>
      <c r="Q80" s="11"/>
    </row>
    <row r="81" customFormat="false" ht="15" hidden="false" customHeight="true" outlineLevel="0" collapsed="false">
      <c r="A81" s="11" t="s">
        <v>295</v>
      </c>
      <c r="B81" s="11" t="s">
        <v>249</v>
      </c>
      <c r="C81" s="11" t="str">
        <f aca="false">IF(B81="Surry Hills","Inner",IF(B81="Strathfield","Middle",IF(B81="Campbelltown","Outer","")))</f>
        <v>Middle</v>
      </c>
      <c r="D81" s="11" t="s">
        <v>296</v>
      </c>
      <c r="E81" s="12" t="n">
        <v>3700000</v>
      </c>
      <c r="F81" s="11" t="s">
        <v>297</v>
      </c>
      <c r="G81" s="11" t="s">
        <v>81</v>
      </c>
      <c r="H81" s="11" t="n">
        <v>3</v>
      </c>
      <c r="I81" s="11" t="n">
        <v>1</v>
      </c>
      <c r="J81" s="11" t="n">
        <v>1</v>
      </c>
      <c r="K81" s="13" t="n">
        <v>713.5</v>
      </c>
      <c r="L81" s="13"/>
      <c r="M81" s="14" t="n">
        <f aca="false">IF(B81="Surry Hills",2.5,IF(B81="Strathfield",14,IF(B81="Campbelltown",54,"")))</f>
        <v>14</v>
      </c>
      <c r="N81" s="11"/>
      <c r="O81" s="11"/>
      <c r="P81" s="11" t="s">
        <v>82</v>
      </c>
      <c r="Q81" s="11"/>
    </row>
    <row r="82" customFormat="false" ht="15" hidden="false" customHeight="true" outlineLevel="0" collapsed="false">
      <c r="A82" s="11" t="s">
        <v>298</v>
      </c>
      <c r="B82" s="11" t="s">
        <v>249</v>
      </c>
      <c r="C82" s="11" t="str">
        <f aca="false">IF(B82="Surry Hills","Inner",IF(B82="Strathfield","Middle",IF(B82="Campbelltown","Outer","")))</f>
        <v>Middle</v>
      </c>
      <c r="D82" s="11" t="s">
        <v>299</v>
      </c>
      <c r="E82" s="12" t="n">
        <v>845000</v>
      </c>
      <c r="F82" s="11" t="s">
        <v>297</v>
      </c>
      <c r="G82" s="11" t="s">
        <v>61</v>
      </c>
      <c r="H82" s="11" t="n">
        <v>2</v>
      </c>
      <c r="I82" s="11" t="n">
        <v>2</v>
      </c>
      <c r="J82" s="11" t="n">
        <v>2</v>
      </c>
      <c r="K82" s="13"/>
      <c r="L82" s="13" t="n">
        <v>143</v>
      </c>
      <c r="M82" s="14" t="n">
        <f aca="false">IF(B82="Surry Hills",2.5,IF(B82="Strathfield",14,IF(B82="Campbelltown",54,"")))</f>
        <v>14</v>
      </c>
      <c r="N82" s="11"/>
      <c r="O82" s="11"/>
      <c r="P82" s="11" t="s">
        <v>71</v>
      </c>
      <c r="Q82" s="11"/>
    </row>
    <row r="83" customFormat="false" ht="15" hidden="false" customHeight="true" outlineLevel="0" collapsed="false">
      <c r="A83" s="11" t="s">
        <v>300</v>
      </c>
      <c r="B83" s="11" t="s">
        <v>249</v>
      </c>
      <c r="C83" s="11" t="str">
        <f aca="false">IF(B83="Surry Hills","Inner",IF(B83="Strathfield","Middle",IF(B83="Campbelltown","Outer","")))</f>
        <v>Middle</v>
      </c>
      <c r="D83" s="11" t="s">
        <v>301</v>
      </c>
      <c r="E83" s="12" t="n">
        <v>6105000</v>
      </c>
      <c r="F83" s="11" t="s">
        <v>302</v>
      </c>
      <c r="G83" s="11" t="s">
        <v>81</v>
      </c>
      <c r="H83" s="11" t="n">
        <v>5</v>
      </c>
      <c r="I83" s="11" t="n">
        <v>3</v>
      </c>
      <c r="J83" s="11" t="n">
        <v>4</v>
      </c>
      <c r="K83" s="13" t="n">
        <v>1149</v>
      </c>
      <c r="L83" s="13"/>
      <c r="M83" s="14" t="n">
        <f aca="false">IF(B83="Surry Hills",2.5,IF(B83="Strathfield",14,IF(B83="Campbelltown",54,"")))</f>
        <v>14</v>
      </c>
      <c r="N83" s="11"/>
      <c r="O83" s="11"/>
      <c r="P83" s="11" t="s">
        <v>82</v>
      </c>
      <c r="Q83" s="11"/>
    </row>
    <row r="84" customFormat="false" ht="15" hidden="false" customHeight="true" outlineLevel="0" collapsed="false">
      <c r="A84" s="11" t="s">
        <v>303</v>
      </c>
      <c r="B84" s="11" t="s">
        <v>249</v>
      </c>
      <c r="C84" s="11" t="str">
        <f aca="false">IF(B84="Surry Hills","Inner",IF(B84="Strathfield","Middle",IF(B84="Campbelltown","Outer","")))</f>
        <v>Middle</v>
      </c>
      <c r="D84" s="11" t="s">
        <v>304</v>
      </c>
      <c r="E84" s="12" t="n">
        <v>3410000</v>
      </c>
      <c r="F84" s="11" t="s">
        <v>305</v>
      </c>
      <c r="G84" s="11" t="s">
        <v>81</v>
      </c>
      <c r="H84" s="11" t="n">
        <v>5</v>
      </c>
      <c r="I84" s="11" t="n">
        <v>4</v>
      </c>
      <c r="J84" s="11" t="n">
        <v>3</v>
      </c>
      <c r="K84" s="13" t="n">
        <v>321</v>
      </c>
      <c r="L84" s="13"/>
      <c r="M84" s="14" t="n">
        <f aca="false">IF(B84="Surry Hills",2.5,IF(B84="Strathfield",14,IF(B84="Campbelltown",54,"")))</f>
        <v>14</v>
      </c>
      <c r="N84" s="11"/>
      <c r="O84" s="11"/>
      <c r="P84" s="11" t="s">
        <v>82</v>
      </c>
      <c r="Q84" s="11"/>
    </row>
    <row r="85" customFormat="false" ht="15" hidden="false" customHeight="true" outlineLevel="0" collapsed="false">
      <c r="A85" s="11" t="s">
        <v>306</v>
      </c>
      <c r="B85" s="11" t="s">
        <v>249</v>
      </c>
      <c r="C85" s="11" t="str">
        <f aca="false">IF(B85="Surry Hills","Inner",IF(B85="Strathfield","Middle",IF(B85="Campbelltown","Outer","")))</f>
        <v>Middle</v>
      </c>
      <c r="D85" s="11" t="s">
        <v>307</v>
      </c>
      <c r="E85" s="12" t="n">
        <v>4007000</v>
      </c>
      <c r="F85" s="11" t="s">
        <v>308</v>
      </c>
      <c r="G85" s="11" t="s">
        <v>81</v>
      </c>
      <c r="H85" s="11" t="n">
        <v>4</v>
      </c>
      <c r="I85" s="11" t="n">
        <v>3</v>
      </c>
      <c r="J85" s="11" t="n">
        <v>1</v>
      </c>
      <c r="K85" s="13" t="n">
        <v>626</v>
      </c>
      <c r="L85" s="13"/>
      <c r="M85" s="14" t="n">
        <f aca="false">IF(B85="Surry Hills",2.5,IF(B85="Strathfield",14,IF(B85="Campbelltown",54,"")))</f>
        <v>14</v>
      </c>
      <c r="N85" s="11"/>
      <c r="O85" s="11"/>
      <c r="P85" s="11" t="s">
        <v>82</v>
      </c>
      <c r="Q85" s="11"/>
    </row>
    <row r="86" customFormat="false" ht="15" hidden="false" customHeight="true" outlineLevel="0" collapsed="false">
      <c r="A86" s="11" t="s">
        <v>309</v>
      </c>
      <c r="B86" s="11" t="s">
        <v>249</v>
      </c>
      <c r="C86" s="11" t="str">
        <f aca="false">IF(B86="Surry Hills","Inner",IF(B86="Strathfield","Middle",IF(B86="Campbelltown","Outer","")))</f>
        <v>Middle</v>
      </c>
      <c r="D86" s="11" t="s">
        <v>310</v>
      </c>
      <c r="E86" s="12" t="n">
        <v>6565000</v>
      </c>
      <c r="F86" s="11" t="s">
        <v>311</v>
      </c>
      <c r="G86" s="11" t="s">
        <v>81</v>
      </c>
      <c r="H86" s="11" t="n">
        <v>4</v>
      </c>
      <c r="I86" s="11" t="n">
        <v>4</v>
      </c>
      <c r="J86" s="11" t="n">
        <v>4</v>
      </c>
      <c r="K86" s="13" t="n">
        <v>708.2</v>
      </c>
      <c r="L86" s="13"/>
      <c r="M86" s="14" t="n">
        <f aca="false">IF(B86="Surry Hills",2.5,IF(B86="Strathfield",14,IF(B86="Campbelltown",54,"")))</f>
        <v>14</v>
      </c>
      <c r="N86" s="11"/>
      <c r="O86" s="11"/>
      <c r="P86" s="11" t="s">
        <v>82</v>
      </c>
      <c r="Q86" s="11"/>
    </row>
    <row r="87" customFormat="false" ht="15" hidden="false" customHeight="true" outlineLevel="0" collapsed="false">
      <c r="A87" s="11" t="s">
        <v>312</v>
      </c>
      <c r="B87" s="11" t="s">
        <v>249</v>
      </c>
      <c r="C87" s="11" t="str">
        <f aca="false">IF(B87="Surry Hills","Inner",IF(B87="Strathfield","Middle",IF(B87="Campbelltown","Outer","")))</f>
        <v>Middle</v>
      </c>
      <c r="D87" s="11" t="s">
        <v>313</v>
      </c>
      <c r="E87" s="12" t="n">
        <v>10815000</v>
      </c>
      <c r="F87" s="11" t="s">
        <v>314</v>
      </c>
      <c r="G87" s="11" t="s">
        <v>81</v>
      </c>
      <c r="H87" s="11" t="n">
        <v>6</v>
      </c>
      <c r="I87" s="11" t="n">
        <v>5</v>
      </c>
      <c r="J87" s="11" t="n">
        <v>7</v>
      </c>
      <c r="K87" s="13" t="n">
        <v>815.7</v>
      </c>
      <c r="L87" s="13"/>
      <c r="M87" s="14" t="n">
        <f aca="false">IF(B87="Surry Hills",2.5,IF(B87="Strathfield",14,IF(B87="Campbelltown",54,"")))</f>
        <v>14</v>
      </c>
      <c r="N87" s="11"/>
      <c r="O87" s="11"/>
      <c r="P87" s="11" t="s">
        <v>82</v>
      </c>
      <c r="Q87" s="11"/>
    </row>
    <row r="88" customFormat="false" ht="15" hidden="false" customHeight="true" outlineLevel="0" collapsed="false">
      <c r="A88" s="11" t="s">
        <v>315</v>
      </c>
      <c r="B88" s="11" t="s">
        <v>249</v>
      </c>
      <c r="C88" s="11" t="str">
        <f aca="false">IF(B88="Surry Hills","Inner",IF(B88="Strathfield","Middle",IF(B88="Campbelltown","Outer","")))</f>
        <v>Middle</v>
      </c>
      <c r="D88" s="11" t="s">
        <v>316</v>
      </c>
      <c r="E88" s="12" t="n">
        <v>3000000</v>
      </c>
      <c r="F88" s="11" t="s">
        <v>317</v>
      </c>
      <c r="G88" s="11" t="s">
        <v>81</v>
      </c>
      <c r="H88" s="11" t="n">
        <v>3</v>
      </c>
      <c r="I88" s="11" t="n">
        <v>2</v>
      </c>
      <c r="J88" s="11" t="n">
        <v>4</v>
      </c>
      <c r="K88" s="13" t="n">
        <v>505.9</v>
      </c>
      <c r="L88" s="13"/>
      <c r="M88" s="14" t="n">
        <f aca="false">IF(B88="Surry Hills",2.5,IF(B88="Strathfield",14,IF(B88="Campbelltown",54,"")))</f>
        <v>14</v>
      </c>
      <c r="N88" s="11"/>
      <c r="O88" s="11"/>
      <c r="P88" s="11" t="s">
        <v>82</v>
      </c>
      <c r="Q88" s="11"/>
    </row>
    <row r="89" customFormat="false" ht="15" hidden="false" customHeight="true" outlineLevel="0" collapsed="false">
      <c r="A89" s="11" t="s">
        <v>318</v>
      </c>
      <c r="B89" s="11" t="s">
        <v>249</v>
      </c>
      <c r="C89" s="11" t="str">
        <f aca="false">IF(B89="Surry Hills","Inner",IF(B89="Strathfield","Middle",IF(B89="Campbelltown","Outer","")))</f>
        <v>Middle</v>
      </c>
      <c r="D89" s="11" t="s">
        <v>319</v>
      </c>
      <c r="E89" s="12" t="n">
        <v>805000</v>
      </c>
      <c r="F89" s="11" t="s">
        <v>320</v>
      </c>
      <c r="G89" s="11" t="s">
        <v>61</v>
      </c>
      <c r="H89" s="11" t="n">
        <v>2</v>
      </c>
      <c r="I89" s="11" t="n">
        <v>2</v>
      </c>
      <c r="J89" s="11" t="n">
        <v>2</v>
      </c>
      <c r="K89" s="13"/>
      <c r="L89" s="13" t="n">
        <v>147</v>
      </c>
      <c r="M89" s="14" t="n">
        <f aca="false">IF(B89="Surry Hills",2.5,IF(B89="Strathfield",14,IF(B89="Campbelltown",54,"")))</f>
        <v>14</v>
      </c>
      <c r="N89" s="11"/>
      <c r="O89" s="11"/>
      <c r="P89" s="11" t="s">
        <v>71</v>
      </c>
      <c r="Q89" s="11"/>
    </row>
    <row r="90" customFormat="false" ht="15" hidden="false" customHeight="true" outlineLevel="0" collapsed="false">
      <c r="A90" s="11" t="s">
        <v>321</v>
      </c>
      <c r="B90" s="11" t="s">
        <v>249</v>
      </c>
      <c r="C90" s="11" t="str">
        <f aca="false">IF(B90="Surry Hills","Inner",IF(B90="Strathfield","Middle",IF(B90="Campbelltown","Outer","")))</f>
        <v>Middle</v>
      </c>
      <c r="D90" s="11" t="s">
        <v>322</v>
      </c>
      <c r="E90" s="12" t="n">
        <v>3507000</v>
      </c>
      <c r="F90" s="11" t="s">
        <v>323</v>
      </c>
      <c r="G90" s="11" t="s">
        <v>81</v>
      </c>
      <c r="H90" s="11" t="n">
        <v>3</v>
      </c>
      <c r="I90" s="11" t="n">
        <v>2</v>
      </c>
      <c r="J90" s="11" t="n">
        <v>2</v>
      </c>
      <c r="K90" s="13" t="n">
        <v>613.4</v>
      </c>
      <c r="L90" s="13"/>
      <c r="M90" s="14" t="n">
        <f aca="false">IF(B90="Surry Hills",2.5,IF(B90="Strathfield",14,IF(B90="Campbelltown",54,"")))</f>
        <v>14</v>
      </c>
      <c r="N90" s="11"/>
      <c r="O90" s="11"/>
      <c r="P90" s="11" t="s">
        <v>82</v>
      </c>
      <c r="Q90" s="11"/>
    </row>
    <row r="91" customFormat="false" ht="15" hidden="false" customHeight="true" outlineLevel="0" collapsed="false">
      <c r="A91" s="11" t="s">
        <v>324</v>
      </c>
      <c r="B91" s="11" t="s">
        <v>249</v>
      </c>
      <c r="C91" s="11" t="str">
        <f aca="false">IF(B91="Surry Hills","Inner",IF(B91="Strathfield","Middle",IF(B91="Campbelltown","Outer","")))</f>
        <v>Middle</v>
      </c>
      <c r="D91" s="11" t="s">
        <v>325</v>
      </c>
      <c r="E91" s="12" t="n">
        <v>765000</v>
      </c>
      <c r="F91" s="11" t="s">
        <v>326</v>
      </c>
      <c r="G91" s="11" t="s">
        <v>61</v>
      </c>
      <c r="H91" s="11" t="n">
        <v>2</v>
      </c>
      <c r="I91" s="11" t="n">
        <v>1</v>
      </c>
      <c r="J91" s="11" t="n">
        <v>1</v>
      </c>
      <c r="K91" s="13"/>
      <c r="L91" s="13" t="n">
        <v>86</v>
      </c>
      <c r="M91" s="14" t="n">
        <f aca="false">IF(B91="Surry Hills",2.5,IF(B91="Strathfield",14,IF(B91="Campbelltown",54,"")))</f>
        <v>14</v>
      </c>
      <c r="N91" s="11"/>
      <c r="O91" s="11"/>
      <c r="P91" s="11" t="s">
        <v>71</v>
      </c>
      <c r="Q91" s="11"/>
    </row>
    <row r="92" customFormat="false" ht="15" hidden="false" customHeight="true" outlineLevel="0" collapsed="false">
      <c r="A92" s="11" t="s">
        <v>327</v>
      </c>
      <c r="B92" s="11" t="s">
        <v>249</v>
      </c>
      <c r="C92" s="11" t="str">
        <f aca="false">IF(B92="Surry Hills","Inner",IF(B92="Strathfield","Middle",IF(B92="Campbelltown","Outer","")))</f>
        <v>Middle</v>
      </c>
      <c r="D92" s="11" t="s">
        <v>328</v>
      </c>
      <c r="E92" s="12" t="n">
        <v>1090000</v>
      </c>
      <c r="F92" s="11" t="s">
        <v>329</v>
      </c>
      <c r="G92" s="11" t="s">
        <v>61</v>
      </c>
      <c r="H92" s="11" t="n">
        <v>3</v>
      </c>
      <c r="I92" s="11" t="n">
        <v>2</v>
      </c>
      <c r="J92" s="11" t="n">
        <v>1</v>
      </c>
      <c r="K92" s="13"/>
      <c r="L92" s="13" t="n">
        <v>120</v>
      </c>
      <c r="M92" s="14" t="n">
        <f aca="false">IF(B92="Surry Hills",2.5,IF(B92="Strathfield",14,IF(B92="Campbelltown",54,"")))</f>
        <v>14</v>
      </c>
      <c r="N92" s="11"/>
      <c r="O92" s="11"/>
      <c r="P92" s="11" t="s">
        <v>71</v>
      </c>
      <c r="Q92" s="11"/>
    </row>
    <row r="93" customFormat="false" ht="15" hidden="false" customHeight="true" outlineLevel="0" collapsed="false">
      <c r="A93" s="11" t="s">
        <v>330</v>
      </c>
      <c r="B93" s="11" t="s">
        <v>249</v>
      </c>
      <c r="C93" s="11" t="str">
        <f aca="false">IF(B93="Surry Hills","Inner",IF(B93="Strathfield","Middle",IF(B93="Campbelltown","Outer","")))</f>
        <v>Middle</v>
      </c>
      <c r="D93" s="11" t="s">
        <v>331</v>
      </c>
      <c r="E93" s="12" t="n">
        <v>865000</v>
      </c>
      <c r="F93" s="11" t="s">
        <v>146</v>
      </c>
      <c r="G93" s="11" t="s">
        <v>61</v>
      </c>
      <c r="H93" s="11" t="n">
        <v>2</v>
      </c>
      <c r="I93" s="11" t="n">
        <v>2</v>
      </c>
      <c r="J93" s="11" t="n">
        <v>2</v>
      </c>
      <c r="K93" s="13"/>
      <c r="L93" s="13" t="n">
        <v>120</v>
      </c>
      <c r="M93" s="14" t="n">
        <f aca="false">IF(B93="Surry Hills",2.5,IF(B93="Strathfield",14,IF(B93="Campbelltown",54,"")))</f>
        <v>14</v>
      </c>
      <c r="N93" s="11"/>
      <c r="O93" s="11"/>
      <c r="P93" s="11" t="s">
        <v>71</v>
      </c>
      <c r="Q93" s="11"/>
    </row>
    <row r="94" customFormat="false" ht="15" hidden="false" customHeight="true" outlineLevel="0" collapsed="false">
      <c r="A94" s="11" t="s">
        <v>332</v>
      </c>
      <c r="B94" s="11" t="s">
        <v>249</v>
      </c>
      <c r="C94" s="11" t="str">
        <f aca="false">IF(B94="Surry Hills","Inner",IF(B94="Strathfield","Middle",IF(B94="Campbelltown","Outer","")))</f>
        <v>Middle</v>
      </c>
      <c r="D94" s="11" t="s">
        <v>333</v>
      </c>
      <c r="E94" s="12" t="n">
        <v>1080000</v>
      </c>
      <c r="F94" s="11" t="s">
        <v>149</v>
      </c>
      <c r="G94" s="11" t="s">
        <v>61</v>
      </c>
      <c r="H94" s="11" t="n">
        <v>2</v>
      </c>
      <c r="I94" s="11" t="n">
        <v>2</v>
      </c>
      <c r="J94" s="11" t="n">
        <v>1</v>
      </c>
      <c r="K94" s="13"/>
      <c r="L94" s="13" t="n">
        <v>161</v>
      </c>
      <c r="M94" s="14" t="n">
        <f aca="false">IF(B94="Surry Hills",2.5,IF(B94="Strathfield",14,IF(B94="Campbelltown",54,"")))</f>
        <v>14</v>
      </c>
      <c r="N94" s="11"/>
      <c r="O94" s="11"/>
      <c r="P94" s="11" t="s">
        <v>71</v>
      </c>
      <c r="Q94" s="11"/>
    </row>
    <row r="95" customFormat="false" ht="15" hidden="false" customHeight="true" outlineLevel="0" collapsed="false">
      <c r="A95" s="11" t="s">
        <v>334</v>
      </c>
      <c r="B95" s="11" t="s">
        <v>249</v>
      </c>
      <c r="C95" s="11" t="str">
        <f aca="false">IF(B95="Surry Hills","Inner",IF(B95="Strathfield","Middle",IF(B95="Campbelltown","Outer","")))</f>
        <v>Middle</v>
      </c>
      <c r="D95" s="11" t="s">
        <v>335</v>
      </c>
      <c r="E95" s="12" t="n">
        <v>6000000</v>
      </c>
      <c r="F95" s="11" t="s">
        <v>336</v>
      </c>
      <c r="G95" s="11" t="s">
        <v>81</v>
      </c>
      <c r="H95" s="11" t="n">
        <v>5</v>
      </c>
      <c r="I95" s="11" t="n">
        <v>2</v>
      </c>
      <c r="J95" s="11" t="n">
        <v>4</v>
      </c>
      <c r="K95" s="13" t="n">
        <v>1005</v>
      </c>
      <c r="L95" s="13"/>
      <c r="M95" s="14" t="n">
        <f aca="false">IF(B95="Surry Hills",2.5,IF(B95="Strathfield",14,IF(B95="Campbelltown",54,"")))</f>
        <v>14</v>
      </c>
      <c r="N95" s="11"/>
      <c r="O95" s="11"/>
      <c r="P95" s="11" t="s">
        <v>82</v>
      </c>
      <c r="Q95" s="11"/>
    </row>
    <row r="96" customFormat="false" ht="15" hidden="false" customHeight="true" outlineLevel="0" collapsed="false">
      <c r="A96" s="11" t="s">
        <v>337</v>
      </c>
      <c r="B96" s="11" t="s">
        <v>249</v>
      </c>
      <c r="C96" s="11" t="str">
        <f aca="false">IF(B96="Surry Hills","Inner",IF(B96="Strathfield","Middle",IF(B96="Campbelltown","Outer","")))</f>
        <v>Middle</v>
      </c>
      <c r="D96" s="11" t="s">
        <v>338</v>
      </c>
      <c r="E96" s="12" t="n">
        <v>4600000</v>
      </c>
      <c r="F96" s="11" t="s">
        <v>339</v>
      </c>
      <c r="G96" s="11" t="s">
        <v>81</v>
      </c>
      <c r="H96" s="11" t="n">
        <v>3</v>
      </c>
      <c r="I96" s="11" t="n">
        <v>2</v>
      </c>
      <c r="J96" s="11" t="n">
        <v>3</v>
      </c>
      <c r="K96" s="13" t="n">
        <v>689.2</v>
      </c>
      <c r="L96" s="13"/>
      <c r="M96" s="14" t="n">
        <f aca="false">IF(B96="Surry Hills",2.5,IF(B96="Strathfield",14,IF(B96="Campbelltown",54,"")))</f>
        <v>14</v>
      </c>
      <c r="N96" s="11"/>
      <c r="O96" s="11"/>
      <c r="P96" s="11" t="s">
        <v>82</v>
      </c>
      <c r="Q96" s="11"/>
    </row>
    <row r="97" customFormat="false" ht="15" hidden="false" customHeight="true" outlineLevel="0" collapsed="false">
      <c r="A97" s="11" t="s">
        <v>340</v>
      </c>
      <c r="B97" s="11" t="s">
        <v>249</v>
      </c>
      <c r="C97" s="11" t="str">
        <f aca="false">IF(B97="Surry Hills","Inner",IF(B97="Strathfield","Middle",IF(B97="Campbelltown","Outer","")))</f>
        <v>Middle</v>
      </c>
      <c r="D97" s="11" t="s">
        <v>341</v>
      </c>
      <c r="E97" s="12" t="n">
        <v>6688000</v>
      </c>
      <c r="F97" s="11" t="s">
        <v>152</v>
      </c>
      <c r="G97" s="11" t="s">
        <v>81</v>
      </c>
      <c r="H97" s="11" t="n">
        <v>3</v>
      </c>
      <c r="I97" s="11" t="n">
        <v>2</v>
      </c>
      <c r="J97" s="11" t="n">
        <v>5</v>
      </c>
      <c r="K97" s="13" t="n">
        <v>1012</v>
      </c>
      <c r="L97" s="13"/>
      <c r="M97" s="14" t="n">
        <f aca="false">IF(B97="Surry Hills",2.5,IF(B97="Strathfield",14,IF(B97="Campbelltown",54,"")))</f>
        <v>14</v>
      </c>
      <c r="N97" s="11"/>
      <c r="O97" s="11"/>
      <c r="P97" s="11" t="s">
        <v>82</v>
      </c>
      <c r="Q97" s="11"/>
    </row>
    <row r="98" customFormat="false" ht="15" hidden="false" customHeight="true" outlineLevel="0" collapsed="false">
      <c r="A98" s="11" t="s">
        <v>342</v>
      </c>
      <c r="B98" s="11" t="s">
        <v>249</v>
      </c>
      <c r="C98" s="11" t="str">
        <f aca="false">IF(B98="Surry Hills","Inner",IF(B98="Strathfield","Middle",IF(B98="Campbelltown","Outer","")))</f>
        <v>Middle</v>
      </c>
      <c r="D98" s="11" t="s">
        <v>343</v>
      </c>
      <c r="E98" s="12" t="n">
        <v>600000</v>
      </c>
      <c r="F98" s="11" t="s">
        <v>155</v>
      </c>
      <c r="G98" s="11" t="s">
        <v>61</v>
      </c>
      <c r="H98" s="11" t="n">
        <v>1</v>
      </c>
      <c r="I98" s="11" t="n">
        <v>1</v>
      </c>
      <c r="J98" s="11" t="n">
        <v>1</v>
      </c>
      <c r="K98" s="13"/>
      <c r="L98" s="13" t="n">
        <v>76</v>
      </c>
      <c r="M98" s="14" t="n">
        <f aca="false">IF(B98="Surry Hills",2.5,IF(B98="Strathfield",14,IF(B98="Campbelltown",54,"")))</f>
        <v>14</v>
      </c>
      <c r="N98" s="11"/>
      <c r="O98" s="11"/>
      <c r="P98" s="11" t="s">
        <v>71</v>
      </c>
      <c r="Q98" s="11"/>
    </row>
    <row r="99" customFormat="false" ht="15" hidden="false" customHeight="true" outlineLevel="0" collapsed="false">
      <c r="A99" s="11" t="s">
        <v>344</v>
      </c>
      <c r="B99" s="11" t="s">
        <v>249</v>
      </c>
      <c r="C99" s="11" t="str">
        <f aca="false">IF(B99="Surry Hills","Inner",IF(B99="Strathfield","Middle",IF(B99="Campbelltown","Outer","")))</f>
        <v>Middle</v>
      </c>
      <c r="D99" s="11" t="s">
        <v>345</v>
      </c>
      <c r="E99" s="12" t="n">
        <v>901000</v>
      </c>
      <c r="F99" s="11" t="s">
        <v>346</v>
      </c>
      <c r="G99" s="11" t="s">
        <v>61</v>
      </c>
      <c r="H99" s="11" t="n">
        <v>2</v>
      </c>
      <c r="I99" s="11" t="n">
        <v>2</v>
      </c>
      <c r="J99" s="11" t="n">
        <v>2</v>
      </c>
      <c r="K99" s="13"/>
      <c r="L99" s="13" t="n">
        <v>146</v>
      </c>
      <c r="M99" s="14" t="n">
        <f aca="false">IF(B99="Surry Hills",2.5,IF(B99="Strathfield",14,IF(B99="Campbelltown",54,"")))</f>
        <v>14</v>
      </c>
      <c r="N99" s="11"/>
      <c r="O99" s="11"/>
      <c r="P99" s="11" t="s">
        <v>71</v>
      </c>
      <c r="Q99" s="11"/>
    </row>
    <row r="100" customFormat="false" ht="15" hidden="false" customHeight="true" outlineLevel="0" collapsed="false">
      <c r="A100" s="11" t="s">
        <v>347</v>
      </c>
      <c r="B100" s="11" t="s">
        <v>249</v>
      </c>
      <c r="C100" s="11" t="str">
        <f aca="false">IF(B100="Surry Hills","Inner",IF(B100="Strathfield","Middle",IF(B100="Campbelltown","Outer","")))</f>
        <v>Middle</v>
      </c>
      <c r="D100" s="11" t="s">
        <v>348</v>
      </c>
      <c r="E100" s="12" t="n">
        <v>835000</v>
      </c>
      <c r="F100" s="11" t="s">
        <v>161</v>
      </c>
      <c r="G100" s="11" t="s">
        <v>61</v>
      </c>
      <c r="H100" s="11" t="n">
        <v>2</v>
      </c>
      <c r="I100" s="11" t="n">
        <v>2</v>
      </c>
      <c r="J100" s="11" t="n">
        <v>2</v>
      </c>
      <c r="K100" s="13"/>
      <c r="L100" s="13" t="n">
        <v>154</v>
      </c>
      <c r="M100" s="14" t="n">
        <f aca="false">IF(B100="Surry Hills",2.5,IF(B100="Strathfield",14,IF(B100="Campbelltown",54,"")))</f>
        <v>14</v>
      </c>
      <c r="N100" s="11"/>
      <c r="O100" s="11"/>
      <c r="P100" s="11" t="s">
        <v>349</v>
      </c>
      <c r="Q100" s="11"/>
    </row>
    <row r="101" customFormat="false" ht="15" hidden="false" customHeight="true" outlineLevel="0" collapsed="false">
      <c r="A101" s="11" t="s">
        <v>350</v>
      </c>
      <c r="B101" s="11" t="s">
        <v>249</v>
      </c>
      <c r="C101" s="11" t="str">
        <f aca="false">IF(B101="Surry Hills","Inner",IF(B101="Strathfield","Middle",IF(B101="Campbelltown","Outer","")))</f>
        <v>Middle</v>
      </c>
      <c r="D101" s="11" t="s">
        <v>351</v>
      </c>
      <c r="E101" s="12" t="n">
        <v>3200000</v>
      </c>
      <c r="F101" s="11" t="s">
        <v>164</v>
      </c>
      <c r="G101" s="11" t="s">
        <v>81</v>
      </c>
      <c r="H101" s="11" t="n">
        <v>4</v>
      </c>
      <c r="I101" s="11" t="n">
        <v>2</v>
      </c>
      <c r="J101" s="11" t="n">
        <v>3</v>
      </c>
      <c r="K101" s="13" t="n">
        <v>697</v>
      </c>
      <c r="L101" s="13"/>
      <c r="M101" s="14" t="n">
        <f aca="false">IF(B101="Surry Hills",2.5,IF(B101="Strathfield",14,IF(B101="Campbelltown",54,"")))</f>
        <v>14</v>
      </c>
      <c r="N101" s="11"/>
      <c r="O101" s="11"/>
      <c r="P101" s="11" t="s">
        <v>82</v>
      </c>
      <c r="Q101" s="11"/>
    </row>
    <row r="102" customFormat="false" ht="15" hidden="false" customHeight="true" outlineLevel="0" collapsed="false">
      <c r="A102" s="11" t="s">
        <v>352</v>
      </c>
      <c r="B102" s="11" t="s">
        <v>249</v>
      </c>
      <c r="C102" s="11" t="str">
        <f aca="false">IF(B102="Surry Hills","Inner",IF(B102="Strathfield","Middle",IF(B102="Campbelltown","Outer","")))</f>
        <v>Middle</v>
      </c>
      <c r="D102" s="11" t="s">
        <v>353</v>
      </c>
      <c r="E102" s="12" t="n">
        <v>696000</v>
      </c>
      <c r="F102" s="11" t="s">
        <v>354</v>
      </c>
      <c r="G102" s="11" t="s">
        <v>61</v>
      </c>
      <c r="H102" s="11" t="n">
        <v>2</v>
      </c>
      <c r="I102" s="11" t="n">
        <v>1</v>
      </c>
      <c r="J102" s="11" t="n">
        <v>1</v>
      </c>
      <c r="K102" s="13"/>
      <c r="L102" s="13" t="n">
        <v>102</v>
      </c>
      <c r="M102" s="14" t="n">
        <f aca="false">IF(B102="Surry Hills",2.5,IF(B102="Strathfield",14,IF(B102="Campbelltown",54,"")))</f>
        <v>14</v>
      </c>
      <c r="N102" s="11"/>
      <c r="O102" s="11"/>
      <c r="P102" s="11" t="s">
        <v>71</v>
      </c>
      <c r="Q102" s="11"/>
    </row>
    <row r="103" customFormat="false" ht="15" hidden="false" customHeight="true" outlineLevel="0" collapsed="false">
      <c r="A103" s="11" t="s">
        <v>355</v>
      </c>
      <c r="B103" s="11" t="s">
        <v>249</v>
      </c>
      <c r="C103" s="11" t="str">
        <f aca="false">IF(B103="Surry Hills","Inner",IF(B103="Strathfield","Middle",IF(B103="Campbelltown","Outer","")))</f>
        <v>Middle</v>
      </c>
      <c r="D103" s="11" t="s">
        <v>356</v>
      </c>
      <c r="E103" s="12" t="n">
        <v>3150000</v>
      </c>
      <c r="F103" s="11" t="s">
        <v>357</v>
      </c>
      <c r="G103" s="11" t="s">
        <v>81</v>
      </c>
      <c r="H103" s="11" t="n">
        <v>3</v>
      </c>
      <c r="I103" s="11" t="n">
        <v>2</v>
      </c>
      <c r="J103" s="11" t="n">
        <v>2</v>
      </c>
      <c r="K103" s="13" t="n">
        <v>562.8</v>
      </c>
      <c r="L103" s="13"/>
      <c r="M103" s="14" t="n">
        <f aca="false">IF(B103="Surry Hills",2.5,IF(B103="Strathfield",14,IF(B103="Campbelltown",54,"")))</f>
        <v>14</v>
      </c>
      <c r="N103" s="11"/>
      <c r="O103" s="11"/>
      <c r="P103" s="11" t="s">
        <v>82</v>
      </c>
      <c r="Q103" s="11"/>
    </row>
    <row r="104" customFormat="false" ht="15" hidden="false" customHeight="true" outlineLevel="0" collapsed="false">
      <c r="A104" s="11" t="s">
        <v>358</v>
      </c>
      <c r="B104" s="11" t="s">
        <v>249</v>
      </c>
      <c r="C104" s="11" t="str">
        <f aca="false">IF(B104="Surry Hills","Inner",IF(B104="Strathfield","Middle",IF(B104="Campbelltown","Outer","")))</f>
        <v>Middle</v>
      </c>
      <c r="D104" s="11" t="s">
        <v>359</v>
      </c>
      <c r="E104" s="12" t="n">
        <v>580000</v>
      </c>
      <c r="F104" s="11" t="s">
        <v>167</v>
      </c>
      <c r="G104" s="11" t="s">
        <v>61</v>
      </c>
      <c r="H104" s="11" t="n">
        <v>1</v>
      </c>
      <c r="I104" s="11" t="n">
        <v>1</v>
      </c>
      <c r="J104" s="11" t="n">
        <v>1</v>
      </c>
      <c r="K104" s="13"/>
      <c r="L104" s="13" t="n">
        <v>78.1</v>
      </c>
      <c r="M104" s="14" t="n">
        <f aca="false">IF(B104="Surry Hills",2.5,IF(B104="Strathfield",14,IF(B104="Campbelltown",54,"")))</f>
        <v>14</v>
      </c>
      <c r="N104" s="11"/>
      <c r="O104" s="11"/>
      <c r="P104" s="11" t="s">
        <v>71</v>
      </c>
      <c r="Q104" s="11"/>
    </row>
    <row r="105" customFormat="false" ht="15" hidden="false" customHeight="true" outlineLevel="0" collapsed="false">
      <c r="A105" s="11" t="s">
        <v>360</v>
      </c>
      <c r="B105" s="11" t="s">
        <v>249</v>
      </c>
      <c r="C105" s="11" t="str">
        <f aca="false">IF(B105="Surry Hills","Inner",IF(B105="Strathfield","Middle",IF(B105="Campbelltown","Outer","")))</f>
        <v>Middle</v>
      </c>
      <c r="D105" s="11" t="s">
        <v>361</v>
      </c>
      <c r="E105" s="12" t="n">
        <v>3855000</v>
      </c>
      <c r="F105" s="11" t="s">
        <v>170</v>
      </c>
      <c r="G105" s="11" t="s">
        <v>81</v>
      </c>
      <c r="H105" s="11" t="n">
        <v>5</v>
      </c>
      <c r="I105" s="11" t="n">
        <v>2</v>
      </c>
      <c r="J105" s="11" t="n">
        <v>3</v>
      </c>
      <c r="K105" s="13" t="n">
        <v>727.2</v>
      </c>
      <c r="L105" s="13"/>
      <c r="M105" s="14" t="n">
        <f aca="false">IF(B105="Surry Hills",2.5,IF(B105="Strathfield",14,IF(B105="Campbelltown",54,"")))</f>
        <v>14</v>
      </c>
      <c r="N105" s="11"/>
      <c r="O105" s="11"/>
      <c r="P105" s="11" t="s">
        <v>82</v>
      </c>
      <c r="Q105" s="11"/>
    </row>
    <row r="106" customFormat="false" ht="15" hidden="false" customHeight="true" outlineLevel="0" collapsed="false">
      <c r="A106" s="11" t="s">
        <v>362</v>
      </c>
      <c r="B106" s="11" t="s">
        <v>249</v>
      </c>
      <c r="C106" s="11" t="str">
        <f aca="false">IF(B106="Surry Hills","Inner",IF(B106="Strathfield","Middle",IF(B106="Campbelltown","Outer","")))</f>
        <v>Middle</v>
      </c>
      <c r="D106" s="11" t="s">
        <v>363</v>
      </c>
      <c r="E106" s="12" t="n">
        <v>4825000</v>
      </c>
      <c r="F106" s="11" t="s">
        <v>364</v>
      </c>
      <c r="G106" s="11" t="s">
        <v>81</v>
      </c>
      <c r="H106" s="11" t="n">
        <v>5</v>
      </c>
      <c r="I106" s="11" t="n">
        <v>2</v>
      </c>
      <c r="J106" s="11" t="n">
        <v>3</v>
      </c>
      <c r="K106" s="13" t="n">
        <v>689.2</v>
      </c>
      <c r="L106" s="13"/>
      <c r="M106" s="14" t="n">
        <f aca="false">IF(B106="Surry Hills",2.5,IF(B106="Strathfield",14,IF(B106="Campbelltown",54,"")))</f>
        <v>14</v>
      </c>
      <c r="N106" s="11"/>
      <c r="O106" s="11"/>
      <c r="P106" s="11" t="s">
        <v>82</v>
      </c>
      <c r="Q106" s="11"/>
    </row>
    <row r="107" customFormat="false" ht="15" hidden="false" customHeight="true" outlineLevel="0" collapsed="false">
      <c r="A107" s="11" t="s">
        <v>365</v>
      </c>
      <c r="B107" s="11" t="s">
        <v>249</v>
      </c>
      <c r="C107" s="11" t="str">
        <f aca="false">IF(B107="Surry Hills","Inner",IF(B107="Strathfield","Middle",IF(B107="Campbelltown","Outer","")))</f>
        <v>Middle</v>
      </c>
      <c r="D107" s="11" t="s">
        <v>366</v>
      </c>
      <c r="E107" s="12" t="n">
        <v>3475000</v>
      </c>
      <c r="F107" s="11" t="s">
        <v>367</v>
      </c>
      <c r="G107" s="11" t="s">
        <v>81</v>
      </c>
      <c r="H107" s="11" t="n">
        <v>3</v>
      </c>
      <c r="I107" s="11" t="n">
        <v>2</v>
      </c>
      <c r="J107" s="11" t="n">
        <v>2</v>
      </c>
      <c r="K107" s="13" t="n">
        <v>743</v>
      </c>
      <c r="L107" s="13"/>
      <c r="M107" s="14" t="n">
        <f aca="false">IF(B107="Surry Hills",2.5,IF(B107="Strathfield",14,IF(B107="Campbelltown",54,"")))</f>
        <v>14</v>
      </c>
      <c r="N107" s="11"/>
      <c r="O107" s="11"/>
      <c r="P107" s="11" t="s">
        <v>82</v>
      </c>
      <c r="Q107" s="11"/>
    </row>
    <row r="108" customFormat="false" ht="15" hidden="false" customHeight="true" outlineLevel="0" collapsed="false">
      <c r="A108" s="11" t="s">
        <v>368</v>
      </c>
      <c r="B108" s="11" t="s">
        <v>249</v>
      </c>
      <c r="C108" s="11" t="str">
        <f aca="false">IF(B108="Surry Hills","Inner",IF(B108="Strathfield","Middle",IF(B108="Campbelltown","Outer","")))</f>
        <v>Middle</v>
      </c>
      <c r="D108" s="11" t="s">
        <v>369</v>
      </c>
      <c r="E108" s="12" t="n">
        <v>3861000</v>
      </c>
      <c r="F108" s="11" t="s">
        <v>370</v>
      </c>
      <c r="G108" s="11" t="s">
        <v>81</v>
      </c>
      <c r="H108" s="11" t="n">
        <v>4</v>
      </c>
      <c r="I108" s="11" t="n">
        <v>3</v>
      </c>
      <c r="J108" s="11" t="n">
        <v>2</v>
      </c>
      <c r="K108" s="13" t="n">
        <v>699</v>
      </c>
      <c r="L108" s="13"/>
      <c r="M108" s="14" t="n">
        <f aca="false">IF(B108="Surry Hills",2.5,IF(B108="Strathfield",14,IF(B108="Campbelltown",54,"")))</f>
        <v>14</v>
      </c>
      <c r="N108" s="11"/>
      <c r="O108" s="11"/>
      <c r="P108" s="11" t="s">
        <v>82</v>
      </c>
      <c r="Q108" s="11"/>
    </row>
    <row r="109" customFormat="false" ht="15" hidden="false" customHeight="true" outlineLevel="0" collapsed="false">
      <c r="A109" s="11" t="s">
        <v>371</v>
      </c>
      <c r="B109" s="11" t="s">
        <v>249</v>
      </c>
      <c r="C109" s="11" t="str">
        <f aca="false">IF(B109="Surry Hills","Inner",IF(B109="Strathfield","Middle",IF(B109="Campbelltown","Outer","")))</f>
        <v>Middle</v>
      </c>
      <c r="D109" s="11" t="s">
        <v>372</v>
      </c>
      <c r="E109" s="12" t="n">
        <v>540000</v>
      </c>
      <c r="F109" s="11" t="s">
        <v>179</v>
      </c>
      <c r="G109" s="11" t="s">
        <v>61</v>
      </c>
      <c r="H109" s="11" t="n">
        <v>1</v>
      </c>
      <c r="I109" s="11" t="n">
        <v>1</v>
      </c>
      <c r="J109" s="11" t="n">
        <v>1</v>
      </c>
      <c r="K109" s="13"/>
      <c r="L109" s="13" t="n">
        <v>97</v>
      </c>
      <c r="M109" s="14" t="n">
        <f aca="false">IF(B109="Surry Hills",2.5,IF(B109="Strathfield",14,IF(B109="Campbelltown",54,"")))</f>
        <v>14</v>
      </c>
      <c r="N109" s="11"/>
      <c r="O109" s="11"/>
      <c r="P109" s="11" t="s">
        <v>71</v>
      </c>
      <c r="Q109" s="11"/>
    </row>
    <row r="110" customFormat="false" ht="15" hidden="false" customHeight="true" outlineLevel="0" collapsed="false">
      <c r="A110" s="11" t="s">
        <v>373</v>
      </c>
      <c r="B110" s="11" t="s">
        <v>249</v>
      </c>
      <c r="C110" s="11" t="str">
        <f aca="false">IF(B110="Surry Hills","Inner",IF(B110="Strathfield","Middle",IF(B110="Campbelltown","Outer","")))</f>
        <v>Middle</v>
      </c>
      <c r="D110" s="11" t="s">
        <v>374</v>
      </c>
      <c r="E110" s="12" t="n">
        <v>4077000</v>
      </c>
      <c r="F110" s="11" t="s">
        <v>375</v>
      </c>
      <c r="G110" s="11" t="s">
        <v>81</v>
      </c>
      <c r="H110" s="11" t="n">
        <v>4</v>
      </c>
      <c r="I110" s="11" t="n">
        <v>2</v>
      </c>
      <c r="J110" s="11" t="n">
        <v>4</v>
      </c>
      <c r="K110" s="13" t="n">
        <v>682.9</v>
      </c>
      <c r="L110" s="13"/>
      <c r="M110" s="14" t="n">
        <f aca="false">IF(B110="Surry Hills",2.5,IF(B110="Strathfield",14,IF(B110="Campbelltown",54,"")))</f>
        <v>14</v>
      </c>
      <c r="N110" s="11"/>
      <c r="O110" s="11"/>
      <c r="P110" s="11" t="s">
        <v>82</v>
      </c>
      <c r="Q110" s="11"/>
    </row>
    <row r="111" customFormat="false" ht="15" hidden="false" customHeight="true" outlineLevel="0" collapsed="false">
      <c r="A111" s="11" t="s">
        <v>376</v>
      </c>
      <c r="B111" s="11" t="s">
        <v>249</v>
      </c>
      <c r="C111" s="11" t="str">
        <f aca="false">IF(B111="Surry Hills","Inner",IF(B111="Strathfield","Middle",IF(B111="Campbelltown","Outer","")))</f>
        <v>Middle</v>
      </c>
      <c r="D111" s="11" t="s">
        <v>377</v>
      </c>
      <c r="E111" s="12" t="n">
        <v>4650000</v>
      </c>
      <c r="F111" s="11" t="s">
        <v>378</v>
      </c>
      <c r="G111" s="11" t="s">
        <v>81</v>
      </c>
      <c r="H111" s="11" t="n">
        <v>5</v>
      </c>
      <c r="I111" s="11" t="n">
        <v>3</v>
      </c>
      <c r="J111" s="11" t="n">
        <v>2</v>
      </c>
      <c r="K111" s="13" t="n">
        <v>547</v>
      </c>
      <c r="L111" s="13"/>
      <c r="M111" s="14" t="n">
        <f aca="false">IF(B111="Surry Hills",2.5,IF(B111="Strathfield",14,IF(B111="Campbelltown",54,"")))</f>
        <v>14</v>
      </c>
      <c r="N111" s="11"/>
      <c r="O111" s="11"/>
      <c r="P111" s="11" t="s">
        <v>82</v>
      </c>
      <c r="Q111" s="11"/>
    </row>
    <row r="112" customFormat="false" ht="15" hidden="false" customHeight="true" outlineLevel="0" collapsed="false">
      <c r="A112" s="11" t="s">
        <v>379</v>
      </c>
      <c r="B112" s="11" t="s">
        <v>249</v>
      </c>
      <c r="C112" s="11" t="str">
        <f aca="false">IF(B112="Surry Hills","Inner",IF(B112="Strathfield","Middle",IF(B112="Campbelltown","Outer","")))</f>
        <v>Middle</v>
      </c>
      <c r="D112" s="11" t="s">
        <v>380</v>
      </c>
      <c r="E112" s="12" t="n">
        <v>5888888</v>
      </c>
      <c r="F112" s="11" t="s">
        <v>381</v>
      </c>
      <c r="G112" s="11" t="s">
        <v>81</v>
      </c>
      <c r="H112" s="11" t="n">
        <v>4</v>
      </c>
      <c r="I112" s="11" t="n">
        <v>3</v>
      </c>
      <c r="J112" s="11" t="n">
        <v>6</v>
      </c>
      <c r="K112" s="13" t="n">
        <v>1352.8</v>
      </c>
      <c r="L112" s="13"/>
      <c r="M112" s="14" t="n">
        <f aca="false">IF(B112="Surry Hills",2.5,IF(B112="Strathfield",14,IF(B112="Campbelltown",54,"")))</f>
        <v>14</v>
      </c>
      <c r="N112" s="11"/>
      <c r="O112" s="11"/>
      <c r="P112" s="11" t="s">
        <v>82</v>
      </c>
      <c r="Q112" s="11"/>
    </row>
    <row r="113" customFormat="false" ht="15" hidden="false" customHeight="true" outlineLevel="0" collapsed="false">
      <c r="A113" s="11" t="s">
        <v>382</v>
      </c>
      <c r="B113" s="11" t="s">
        <v>249</v>
      </c>
      <c r="C113" s="11" t="str">
        <f aca="false">IF(B113="Surry Hills","Inner",IF(B113="Strathfield","Middle",IF(B113="Campbelltown","Outer","")))</f>
        <v>Middle</v>
      </c>
      <c r="D113" s="11" t="s">
        <v>383</v>
      </c>
      <c r="E113" s="12" t="n">
        <v>840000</v>
      </c>
      <c r="F113" s="11" t="s">
        <v>384</v>
      </c>
      <c r="G113" s="11" t="s">
        <v>61</v>
      </c>
      <c r="H113" s="11" t="n">
        <v>2</v>
      </c>
      <c r="I113" s="11" t="n">
        <v>2</v>
      </c>
      <c r="J113" s="11" t="n">
        <v>2</v>
      </c>
      <c r="K113" s="13"/>
      <c r="L113" s="13" t="n">
        <v>147</v>
      </c>
      <c r="M113" s="14" t="n">
        <f aca="false">IF(B113="Surry Hills",2.5,IF(B113="Strathfield",14,IF(B113="Campbelltown",54,"")))</f>
        <v>14</v>
      </c>
      <c r="N113" s="11"/>
      <c r="O113" s="11"/>
      <c r="P113" s="11" t="s">
        <v>71</v>
      </c>
      <c r="Q113" s="11"/>
    </row>
    <row r="114" customFormat="false" ht="15" hidden="false" customHeight="true" outlineLevel="0" collapsed="false">
      <c r="A114" s="11" t="s">
        <v>385</v>
      </c>
      <c r="B114" s="11" t="s">
        <v>249</v>
      </c>
      <c r="C114" s="11" t="str">
        <f aca="false">IF(B114="Surry Hills","Inner",IF(B114="Strathfield","Middle",IF(B114="Campbelltown","Outer","")))</f>
        <v>Middle</v>
      </c>
      <c r="D114" s="11" t="s">
        <v>386</v>
      </c>
      <c r="E114" s="12" t="n">
        <v>700000</v>
      </c>
      <c r="F114" s="11" t="s">
        <v>387</v>
      </c>
      <c r="G114" s="11" t="s">
        <v>61</v>
      </c>
      <c r="H114" s="11" t="n">
        <v>2</v>
      </c>
      <c r="I114" s="11" t="n">
        <v>2</v>
      </c>
      <c r="J114" s="11" t="n">
        <v>1</v>
      </c>
      <c r="K114" s="13"/>
      <c r="L114" s="13" t="n">
        <v>108</v>
      </c>
      <c r="M114" s="14" t="n">
        <f aca="false">IF(B114="Surry Hills",2.5,IF(B114="Strathfield",14,IF(B114="Campbelltown",54,"")))</f>
        <v>14</v>
      </c>
      <c r="N114" s="11"/>
      <c r="O114" s="11"/>
      <c r="P114" s="11" t="s">
        <v>71</v>
      </c>
      <c r="Q114" s="11"/>
    </row>
    <row r="115" customFormat="false" ht="15" hidden="false" customHeight="true" outlineLevel="0" collapsed="false">
      <c r="A115" s="11" t="s">
        <v>388</v>
      </c>
      <c r="B115" s="11" t="s">
        <v>249</v>
      </c>
      <c r="C115" s="11" t="str">
        <f aca="false">IF(B115="Surry Hills","Inner",IF(B115="Strathfield","Middle",IF(B115="Campbelltown","Outer","")))</f>
        <v>Middle</v>
      </c>
      <c r="D115" s="11" t="s">
        <v>389</v>
      </c>
      <c r="E115" s="12" t="n">
        <v>9100000</v>
      </c>
      <c r="F115" s="11" t="s">
        <v>390</v>
      </c>
      <c r="G115" s="11" t="s">
        <v>81</v>
      </c>
      <c r="H115" s="11" t="n">
        <v>4</v>
      </c>
      <c r="I115" s="11" t="n">
        <v>5</v>
      </c>
      <c r="J115" s="11" t="n">
        <v>8</v>
      </c>
      <c r="K115" s="13" t="n">
        <v>696</v>
      </c>
      <c r="L115" s="13"/>
      <c r="M115" s="14" t="n">
        <f aca="false">IF(B115="Surry Hills",2.5,IF(B115="Strathfield",14,IF(B115="Campbelltown",54,"")))</f>
        <v>14</v>
      </c>
      <c r="N115" s="11"/>
      <c r="O115" s="11"/>
      <c r="P115" s="11" t="s">
        <v>82</v>
      </c>
      <c r="Q115" s="11"/>
    </row>
    <row r="116" customFormat="false" ht="15" hidden="false" customHeight="true" outlineLevel="0" collapsed="false">
      <c r="A116" s="11" t="s">
        <v>391</v>
      </c>
      <c r="B116" s="11" t="s">
        <v>249</v>
      </c>
      <c r="C116" s="11" t="str">
        <f aca="false">IF(B116="Surry Hills","Inner",IF(B116="Strathfield","Middle",IF(B116="Campbelltown","Outer","")))</f>
        <v>Middle</v>
      </c>
      <c r="D116" s="11" t="s">
        <v>392</v>
      </c>
      <c r="E116" s="12" t="n">
        <v>680000</v>
      </c>
      <c r="F116" s="11" t="s">
        <v>393</v>
      </c>
      <c r="G116" s="11" t="s">
        <v>61</v>
      </c>
      <c r="H116" s="11" t="n">
        <v>2</v>
      </c>
      <c r="I116" s="11" t="n">
        <v>2</v>
      </c>
      <c r="J116" s="11" t="n">
        <v>1</v>
      </c>
      <c r="K116" s="13"/>
      <c r="L116" s="13" t="n">
        <v>105</v>
      </c>
      <c r="M116" s="14" t="n">
        <f aca="false">IF(B116="Surry Hills",2.5,IF(B116="Strathfield",14,IF(B116="Campbelltown",54,"")))</f>
        <v>14</v>
      </c>
      <c r="N116" s="11"/>
      <c r="O116" s="11"/>
      <c r="P116" s="11" t="s">
        <v>71</v>
      </c>
      <c r="Q116" s="11"/>
    </row>
    <row r="117" customFormat="false" ht="15" hidden="false" customHeight="true" outlineLevel="0" collapsed="false">
      <c r="A117" s="11" t="s">
        <v>394</v>
      </c>
      <c r="B117" s="11" t="s">
        <v>249</v>
      </c>
      <c r="C117" s="11" t="str">
        <f aca="false">IF(B117="Surry Hills","Inner",IF(B117="Strathfield","Middle",IF(B117="Campbelltown","Outer","")))</f>
        <v>Middle</v>
      </c>
      <c r="D117" s="11" t="s">
        <v>395</v>
      </c>
      <c r="E117" s="12" t="n">
        <v>520000</v>
      </c>
      <c r="F117" s="11" t="s">
        <v>396</v>
      </c>
      <c r="G117" s="11" t="s">
        <v>61</v>
      </c>
      <c r="H117" s="11" t="n">
        <v>1</v>
      </c>
      <c r="I117" s="11" t="n">
        <v>1</v>
      </c>
      <c r="J117" s="11"/>
      <c r="K117" s="13"/>
      <c r="L117" s="13" t="n">
        <v>44</v>
      </c>
      <c r="M117" s="14" t="n">
        <f aca="false">IF(B117="Surry Hills",2.5,IF(B117="Strathfield",14,IF(B117="Campbelltown",54,"")))</f>
        <v>14</v>
      </c>
      <c r="N117" s="11"/>
      <c r="O117" s="11"/>
      <c r="P117" s="11" t="s">
        <v>71</v>
      </c>
      <c r="Q117" s="11"/>
    </row>
    <row r="118" customFormat="false" ht="15" hidden="false" customHeight="true" outlineLevel="0" collapsed="false">
      <c r="A118" s="11" t="s">
        <v>397</v>
      </c>
      <c r="B118" s="11" t="s">
        <v>249</v>
      </c>
      <c r="C118" s="11" t="str">
        <f aca="false">IF(B118="Surry Hills","Inner",IF(B118="Strathfield","Middle",IF(B118="Campbelltown","Outer","")))</f>
        <v>Middle</v>
      </c>
      <c r="D118" s="11" t="s">
        <v>398</v>
      </c>
      <c r="E118" s="12" t="n">
        <v>3930000</v>
      </c>
      <c r="F118" s="11" t="s">
        <v>399</v>
      </c>
      <c r="G118" s="11" t="s">
        <v>81</v>
      </c>
      <c r="H118" s="11" t="n">
        <v>5</v>
      </c>
      <c r="I118" s="11" t="n">
        <v>3</v>
      </c>
      <c r="J118" s="11" t="n">
        <v>4</v>
      </c>
      <c r="K118" s="13" t="n">
        <v>696</v>
      </c>
      <c r="L118" s="13"/>
      <c r="M118" s="14" t="n">
        <f aca="false">IF(B118="Surry Hills",2.5,IF(B118="Strathfield",14,IF(B118="Campbelltown",54,"")))</f>
        <v>14</v>
      </c>
      <c r="N118" s="11"/>
      <c r="O118" s="11"/>
      <c r="P118" s="11" t="s">
        <v>82</v>
      </c>
      <c r="Q118" s="11"/>
    </row>
    <row r="119" customFormat="false" ht="15" hidden="false" customHeight="true" outlineLevel="0" collapsed="false">
      <c r="A119" s="11" t="s">
        <v>400</v>
      </c>
      <c r="B119" s="11" t="s">
        <v>249</v>
      </c>
      <c r="C119" s="11" t="str">
        <f aca="false">IF(B119="Surry Hills","Inner",IF(B119="Strathfield","Middle",IF(B119="Campbelltown","Outer","")))</f>
        <v>Middle</v>
      </c>
      <c r="D119" s="11" t="s">
        <v>401</v>
      </c>
      <c r="E119" s="12" t="n">
        <v>5000000</v>
      </c>
      <c r="F119" s="11" t="s">
        <v>402</v>
      </c>
      <c r="G119" s="11" t="s">
        <v>81</v>
      </c>
      <c r="H119" s="11" t="n">
        <v>5</v>
      </c>
      <c r="I119" s="11" t="n">
        <v>6</v>
      </c>
      <c r="J119" s="11" t="n">
        <v>4</v>
      </c>
      <c r="K119" s="13" t="n">
        <v>728</v>
      </c>
      <c r="L119" s="13"/>
      <c r="M119" s="14" t="n">
        <f aca="false">IF(B119="Surry Hills",2.5,IF(B119="Strathfield",14,IF(B119="Campbelltown",54,"")))</f>
        <v>14</v>
      </c>
      <c r="N119" s="11"/>
      <c r="O119" s="11"/>
      <c r="P119" s="11" t="s">
        <v>82</v>
      </c>
      <c r="Q119" s="11"/>
    </row>
    <row r="120" customFormat="false" ht="15" hidden="false" customHeight="true" outlineLevel="0" collapsed="false">
      <c r="A120" s="11" t="s">
        <v>403</v>
      </c>
      <c r="B120" s="11" t="s">
        <v>249</v>
      </c>
      <c r="C120" s="11" t="str">
        <f aca="false">IF(B120="Surry Hills","Inner",IF(B120="Strathfield","Middle",IF(B120="Campbelltown","Outer","")))</f>
        <v>Middle</v>
      </c>
      <c r="D120" s="11" t="s">
        <v>404</v>
      </c>
      <c r="E120" s="12" t="n">
        <v>665000</v>
      </c>
      <c r="F120" s="11" t="s">
        <v>402</v>
      </c>
      <c r="G120" s="11" t="s">
        <v>61</v>
      </c>
      <c r="H120" s="11" t="n">
        <v>2</v>
      </c>
      <c r="I120" s="11" t="n">
        <v>1</v>
      </c>
      <c r="J120" s="11"/>
      <c r="K120" s="13"/>
      <c r="L120" s="13" t="n">
        <v>74.7</v>
      </c>
      <c r="M120" s="14" t="n">
        <f aca="false">IF(B120="Surry Hills",2.5,IF(B120="Strathfield",14,IF(B120="Campbelltown",54,"")))</f>
        <v>14</v>
      </c>
      <c r="N120" s="11"/>
      <c r="O120" s="11"/>
      <c r="P120" s="11" t="s">
        <v>71</v>
      </c>
      <c r="Q120" s="11"/>
    </row>
    <row r="121" customFormat="false" ht="15" hidden="false" customHeight="true" outlineLevel="0" collapsed="false">
      <c r="A121" s="11" t="s">
        <v>405</v>
      </c>
      <c r="B121" s="11" t="s">
        <v>249</v>
      </c>
      <c r="C121" s="11" t="str">
        <f aca="false">IF(B121="Surry Hills","Inner",IF(B121="Strathfield","Middle",IF(B121="Campbelltown","Outer","")))</f>
        <v>Middle</v>
      </c>
      <c r="D121" s="11" t="s">
        <v>406</v>
      </c>
      <c r="E121" s="12" t="n">
        <v>1715000</v>
      </c>
      <c r="F121" s="11" t="s">
        <v>407</v>
      </c>
      <c r="G121" s="11" t="s">
        <v>142</v>
      </c>
      <c r="H121" s="11" t="n">
        <v>2</v>
      </c>
      <c r="I121" s="11" t="n">
        <v>1</v>
      </c>
      <c r="J121" s="11" t="n">
        <v>1</v>
      </c>
      <c r="K121" s="13"/>
      <c r="L121" s="13" t="n">
        <v>323.2</v>
      </c>
      <c r="M121" s="14" t="n">
        <f aca="false">IF(B121="Surry Hills",2.5,IF(B121="Strathfield",14,IF(B121="Campbelltown",54,"")))</f>
        <v>14</v>
      </c>
      <c r="N121" s="11"/>
      <c r="O121" s="11"/>
      <c r="P121" s="11" t="s">
        <v>206</v>
      </c>
      <c r="Q121" s="11"/>
    </row>
    <row r="122" customFormat="false" ht="15" hidden="false" customHeight="true" outlineLevel="0" collapsed="false">
      <c r="A122" s="11" t="s">
        <v>408</v>
      </c>
      <c r="B122" s="11" t="s">
        <v>249</v>
      </c>
      <c r="C122" s="11" t="str">
        <f aca="false">IF(B122="Surry Hills","Inner",IF(B122="Strathfield","Middle",IF(B122="Campbelltown","Outer","")))</f>
        <v>Middle</v>
      </c>
      <c r="D122" s="11" t="s">
        <v>409</v>
      </c>
      <c r="E122" s="12" t="n">
        <v>3080000</v>
      </c>
      <c r="F122" s="11" t="s">
        <v>410</v>
      </c>
      <c r="G122" s="11" t="s">
        <v>81</v>
      </c>
      <c r="H122" s="11" t="n">
        <v>4</v>
      </c>
      <c r="I122" s="11" t="n">
        <v>3</v>
      </c>
      <c r="J122" s="11" t="n">
        <v>3</v>
      </c>
      <c r="K122" s="13" t="n">
        <v>563</v>
      </c>
      <c r="L122" s="13"/>
      <c r="M122" s="14" t="n">
        <f aca="false">IF(B122="Surry Hills",2.5,IF(B122="Strathfield",14,IF(B122="Campbelltown",54,"")))</f>
        <v>14</v>
      </c>
      <c r="N122" s="11"/>
      <c r="O122" s="11"/>
      <c r="P122" s="11" t="s">
        <v>82</v>
      </c>
      <c r="Q122" s="11"/>
    </row>
    <row r="123" customFormat="false" ht="15" hidden="false" customHeight="true" outlineLevel="0" collapsed="false">
      <c r="A123" s="11" t="s">
        <v>411</v>
      </c>
      <c r="B123" s="11" t="s">
        <v>249</v>
      </c>
      <c r="C123" s="11" t="str">
        <f aca="false">IF(B123="Surry Hills","Inner",IF(B123="Strathfield","Middle",IF(B123="Campbelltown","Outer","")))</f>
        <v>Middle</v>
      </c>
      <c r="D123" s="11" t="s">
        <v>412</v>
      </c>
      <c r="E123" s="12" t="n">
        <v>680000</v>
      </c>
      <c r="F123" s="11" t="s">
        <v>413</v>
      </c>
      <c r="G123" s="11" t="s">
        <v>61</v>
      </c>
      <c r="H123" s="11" t="n">
        <v>2</v>
      </c>
      <c r="I123" s="11" t="n">
        <v>2</v>
      </c>
      <c r="J123" s="11" t="n">
        <v>1</v>
      </c>
      <c r="K123" s="13"/>
      <c r="L123" s="13" t="n">
        <v>108</v>
      </c>
      <c r="M123" s="14" t="n">
        <f aca="false">IF(B123="Surry Hills",2.5,IF(B123="Strathfield",14,IF(B123="Campbelltown",54,"")))</f>
        <v>14</v>
      </c>
      <c r="N123" s="11"/>
      <c r="O123" s="11"/>
      <c r="P123" s="11" t="s">
        <v>71</v>
      </c>
      <c r="Q123" s="11"/>
    </row>
    <row r="124" customFormat="false" ht="15" hidden="false" customHeight="true" outlineLevel="0" collapsed="false">
      <c r="A124" s="11" t="s">
        <v>414</v>
      </c>
      <c r="B124" s="11" t="s">
        <v>415</v>
      </c>
      <c r="C124" s="11" t="str">
        <f aca="false">IF(B124="Surry Hills","Inner",IF(B124="Strathfield","Middle",IF(B124="Campbelltown","Outer","")))</f>
        <v>Outer</v>
      </c>
      <c r="D124" s="11" t="s">
        <v>416</v>
      </c>
      <c r="E124" s="12" t="n">
        <v>950000</v>
      </c>
      <c r="F124" s="11" t="s">
        <v>417</v>
      </c>
      <c r="G124" s="11" t="s">
        <v>81</v>
      </c>
      <c r="H124" s="11" t="n">
        <v>3</v>
      </c>
      <c r="I124" s="11" t="n">
        <v>1</v>
      </c>
      <c r="J124" s="11" t="n">
        <v>1</v>
      </c>
      <c r="K124" s="13" t="n">
        <v>645</v>
      </c>
      <c r="L124" s="13"/>
      <c r="M124" s="14" t="n">
        <f aca="false">IF(B124="Surry Hills",2.5,IF(B124="Strathfield",14,IF(B124="Campbelltown",54,"")))</f>
        <v>54</v>
      </c>
      <c r="N124" s="11"/>
      <c r="O124" s="11"/>
      <c r="P124" s="11" t="s">
        <v>82</v>
      </c>
      <c r="Q124" s="11"/>
    </row>
    <row r="125" customFormat="false" ht="15" hidden="false" customHeight="true" outlineLevel="0" collapsed="false">
      <c r="A125" s="11" t="s">
        <v>418</v>
      </c>
      <c r="B125" s="11" t="s">
        <v>415</v>
      </c>
      <c r="C125" s="11" t="str">
        <f aca="false">IF(B125="Surry Hills","Inner",IF(B125="Strathfield","Middle",IF(B125="Campbelltown","Outer","")))</f>
        <v>Outer</v>
      </c>
      <c r="D125" s="11" t="s">
        <v>419</v>
      </c>
      <c r="E125" s="12" t="n">
        <v>890000</v>
      </c>
      <c r="F125" s="11" t="s">
        <v>420</v>
      </c>
      <c r="G125" s="11" t="s">
        <v>142</v>
      </c>
      <c r="H125" s="11" t="n">
        <v>3</v>
      </c>
      <c r="I125" s="11" t="n">
        <v>2</v>
      </c>
      <c r="J125" s="11" t="n">
        <v>1</v>
      </c>
      <c r="K125" s="13"/>
      <c r="L125" s="13" t="n">
        <v>177.1</v>
      </c>
      <c r="M125" s="14" t="n">
        <f aca="false">IF(B125="Surry Hills",2.5,IF(B125="Strathfield",14,IF(B125="Campbelltown",54,"")))</f>
        <v>54</v>
      </c>
      <c r="N125" s="11"/>
      <c r="O125" s="11"/>
      <c r="P125" s="11" t="s">
        <v>206</v>
      </c>
      <c r="Q125" s="11"/>
    </row>
    <row r="126" customFormat="false" ht="15" hidden="false" customHeight="true" outlineLevel="0" collapsed="false">
      <c r="A126" s="11" t="s">
        <v>421</v>
      </c>
      <c r="B126" s="11" t="s">
        <v>415</v>
      </c>
      <c r="C126" s="11" t="str">
        <f aca="false">IF(B126="Surry Hills","Inner",IF(B126="Strathfield","Middle",IF(B126="Campbelltown","Outer","")))</f>
        <v>Outer</v>
      </c>
      <c r="D126" s="11" t="s">
        <v>422</v>
      </c>
      <c r="E126" s="12" t="n">
        <v>930000</v>
      </c>
      <c r="F126" s="11" t="s">
        <v>423</v>
      </c>
      <c r="G126" s="11" t="s">
        <v>81</v>
      </c>
      <c r="H126" s="11" t="n">
        <v>4</v>
      </c>
      <c r="I126" s="11" t="n">
        <v>1</v>
      </c>
      <c r="J126" s="11" t="n">
        <v>1</v>
      </c>
      <c r="K126" s="13" t="n">
        <v>554</v>
      </c>
      <c r="L126" s="13"/>
      <c r="M126" s="14" t="n">
        <f aca="false">IF(B126="Surry Hills",2.5,IF(B126="Strathfield",14,IF(B126="Campbelltown",54,"")))</f>
        <v>54</v>
      </c>
      <c r="N126" s="11"/>
      <c r="O126" s="11"/>
      <c r="P126" s="11" t="s">
        <v>82</v>
      </c>
      <c r="Q126" s="11"/>
    </row>
    <row r="127" customFormat="false" ht="15" hidden="false" customHeight="true" outlineLevel="0" collapsed="false">
      <c r="A127" s="11" t="s">
        <v>424</v>
      </c>
      <c r="B127" s="11" t="s">
        <v>415</v>
      </c>
      <c r="C127" s="11" t="str">
        <f aca="false">IF(B127="Surry Hills","Inner",IF(B127="Strathfield","Middle",IF(B127="Campbelltown","Outer","")))</f>
        <v>Outer</v>
      </c>
      <c r="D127" s="11" t="s">
        <v>425</v>
      </c>
      <c r="E127" s="12" t="n">
        <v>1195000</v>
      </c>
      <c r="F127" s="11" t="s">
        <v>77</v>
      </c>
      <c r="G127" s="11" t="s">
        <v>81</v>
      </c>
      <c r="H127" s="11" t="n">
        <v>6</v>
      </c>
      <c r="I127" s="11" t="n">
        <v>3</v>
      </c>
      <c r="J127" s="11" t="n">
        <v>1</v>
      </c>
      <c r="K127" s="13" t="n">
        <v>368</v>
      </c>
      <c r="L127" s="13"/>
      <c r="M127" s="14" t="n">
        <f aca="false">IF(B127="Surry Hills",2.5,IF(B127="Strathfield",14,IF(B127="Campbelltown",54,"")))</f>
        <v>54</v>
      </c>
      <c r="N127" s="11"/>
      <c r="O127" s="11"/>
      <c r="P127" s="11" t="s">
        <v>82</v>
      </c>
      <c r="Q127" s="11"/>
    </row>
    <row r="128" customFormat="false" ht="15" hidden="false" customHeight="true" outlineLevel="0" collapsed="false">
      <c r="A128" s="11" t="s">
        <v>426</v>
      </c>
      <c r="B128" s="11" t="s">
        <v>415</v>
      </c>
      <c r="C128" s="11" t="str">
        <f aca="false">IF(B128="Surry Hills","Inner",IF(B128="Strathfield","Middle",IF(B128="Campbelltown","Outer","")))</f>
        <v>Outer</v>
      </c>
      <c r="D128" s="11" t="s">
        <v>427</v>
      </c>
      <c r="E128" s="12" t="n">
        <v>469000</v>
      </c>
      <c r="F128" s="11" t="s">
        <v>428</v>
      </c>
      <c r="G128" s="11" t="s">
        <v>61</v>
      </c>
      <c r="H128" s="11" t="n">
        <v>2</v>
      </c>
      <c r="I128" s="11" t="n">
        <v>1</v>
      </c>
      <c r="J128" s="11" t="n">
        <v>1</v>
      </c>
      <c r="K128" s="13"/>
      <c r="L128" s="13" t="n">
        <v>66</v>
      </c>
      <c r="M128" s="14" t="n">
        <f aca="false">IF(B128="Surry Hills",2.5,IF(B128="Strathfield",14,IF(B128="Campbelltown",54,"")))</f>
        <v>54</v>
      </c>
      <c r="N128" s="11"/>
      <c r="O128" s="11"/>
      <c r="P128" s="11" t="s">
        <v>349</v>
      </c>
      <c r="Q128" s="11"/>
    </row>
    <row r="129" customFormat="false" ht="15" hidden="false" customHeight="true" outlineLevel="0" collapsed="false">
      <c r="A129" s="11" t="s">
        <v>429</v>
      </c>
      <c r="B129" s="11" t="s">
        <v>415</v>
      </c>
      <c r="C129" s="11" t="str">
        <f aca="false">IF(B129="Surry Hills","Inner",IF(B129="Strathfield","Middle",IF(B129="Campbelltown","Outer","")))</f>
        <v>Outer</v>
      </c>
      <c r="D129" s="11" t="s">
        <v>430</v>
      </c>
      <c r="E129" s="12" t="n">
        <v>730000</v>
      </c>
      <c r="F129" s="11" t="s">
        <v>431</v>
      </c>
      <c r="G129" s="11" t="s">
        <v>258</v>
      </c>
      <c r="H129" s="11" t="n">
        <v>2</v>
      </c>
      <c r="I129" s="11" t="n">
        <v>1</v>
      </c>
      <c r="J129" s="11" t="n">
        <v>1</v>
      </c>
      <c r="K129" s="13"/>
      <c r="L129" s="13" t="n">
        <v>281</v>
      </c>
      <c r="M129" s="14" t="n">
        <f aca="false">IF(B129="Surry Hills",2.5,IF(B129="Strathfield",14,IF(B129="Campbelltown",54,"")))</f>
        <v>54</v>
      </c>
      <c r="N129" s="11"/>
      <c r="O129" s="11"/>
      <c r="P129" s="11" t="s">
        <v>259</v>
      </c>
      <c r="Q129" s="11"/>
    </row>
    <row r="130" customFormat="false" ht="15" hidden="false" customHeight="true" outlineLevel="0" collapsed="false">
      <c r="A130" s="11" t="s">
        <v>432</v>
      </c>
      <c r="B130" s="11" t="s">
        <v>415</v>
      </c>
      <c r="C130" s="11" t="str">
        <f aca="false">IF(B130="Surry Hills","Inner",IF(B130="Strathfield","Middle",IF(B130="Campbelltown","Outer","")))</f>
        <v>Outer</v>
      </c>
      <c r="D130" s="11" t="s">
        <v>433</v>
      </c>
      <c r="E130" s="12" t="n">
        <v>547000</v>
      </c>
      <c r="F130" s="11" t="s">
        <v>434</v>
      </c>
      <c r="G130" s="11" t="s">
        <v>61</v>
      </c>
      <c r="H130" s="11" t="n">
        <v>2</v>
      </c>
      <c r="I130" s="11" t="n">
        <v>2</v>
      </c>
      <c r="J130" s="11" t="n">
        <v>1</v>
      </c>
      <c r="K130" s="13"/>
      <c r="L130" s="13" t="n">
        <v>109</v>
      </c>
      <c r="M130" s="14" t="n">
        <f aca="false">IF(B130="Surry Hills",2.5,IF(B130="Strathfield",14,IF(B130="Campbelltown",54,"")))</f>
        <v>54</v>
      </c>
      <c r="N130" s="11"/>
      <c r="O130" s="11"/>
      <c r="P130" s="11" t="s">
        <v>349</v>
      </c>
      <c r="Q130" s="11"/>
    </row>
    <row r="131" customFormat="false" ht="15" hidden="false" customHeight="true" outlineLevel="0" collapsed="false">
      <c r="A131" s="11" t="s">
        <v>435</v>
      </c>
      <c r="B131" s="11" t="s">
        <v>415</v>
      </c>
      <c r="C131" s="11" t="str">
        <f aca="false">IF(B131="Surry Hills","Inner",IF(B131="Strathfield","Middle",IF(B131="Campbelltown","Outer","")))</f>
        <v>Outer</v>
      </c>
      <c r="D131" s="11" t="s">
        <v>436</v>
      </c>
      <c r="E131" s="12" t="n">
        <v>1600000</v>
      </c>
      <c r="F131" s="11" t="s">
        <v>437</v>
      </c>
      <c r="G131" s="11" t="s">
        <v>81</v>
      </c>
      <c r="H131" s="11" t="n">
        <v>3</v>
      </c>
      <c r="I131" s="11" t="n">
        <v>1</v>
      </c>
      <c r="J131" s="11"/>
      <c r="K131" s="13" t="n">
        <v>1201</v>
      </c>
      <c r="L131" s="13"/>
      <c r="M131" s="14" t="n">
        <f aca="false">IF(B131="Surry Hills",2.5,IF(B131="Strathfield",14,IF(B131="Campbelltown",54,"")))</f>
        <v>54</v>
      </c>
      <c r="N131" s="11"/>
      <c r="O131" s="11"/>
      <c r="P131" s="11" t="s">
        <v>82</v>
      </c>
      <c r="Q131" s="11"/>
    </row>
    <row r="132" customFormat="false" ht="15" hidden="false" customHeight="true" outlineLevel="0" collapsed="false">
      <c r="A132" s="11" t="s">
        <v>438</v>
      </c>
      <c r="B132" s="11" t="s">
        <v>415</v>
      </c>
      <c r="C132" s="11" t="str">
        <f aca="false">IF(B132="Surry Hills","Inner",IF(B132="Strathfield","Middle",IF(B132="Campbelltown","Outer","")))</f>
        <v>Outer</v>
      </c>
      <c r="D132" s="11" t="s">
        <v>439</v>
      </c>
      <c r="E132" s="12" t="n">
        <v>885000</v>
      </c>
      <c r="F132" s="11" t="s">
        <v>437</v>
      </c>
      <c r="G132" s="11" t="s">
        <v>81</v>
      </c>
      <c r="H132" s="11" t="n">
        <v>3</v>
      </c>
      <c r="I132" s="11" t="n">
        <v>1</v>
      </c>
      <c r="J132" s="11" t="n">
        <v>1</v>
      </c>
      <c r="K132" s="13" t="n">
        <v>551</v>
      </c>
      <c r="L132" s="13"/>
      <c r="M132" s="14" t="n">
        <f aca="false">IF(B132="Surry Hills",2.5,IF(B132="Strathfield",14,IF(B132="Campbelltown",54,"")))</f>
        <v>54</v>
      </c>
      <c r="N132" s="11"/>
      <c r="O132" s="11"/>
      <c r="P132" s="11" t="s">
        <v>82</v>
      </c>
      <c r="Q132" s="11"/>
    </row>
    <row r="133" customFormat="false" ht="15" hidden="false" customHeight="true" outlineLevel="0" collapsed="false">
      <c r="A133" s="11" t="s">
        <v>440</v>
      </c>
      <c r="B133" s="11" t="s">
        <v>415</v>
      </c>
      <c r="C133" s="11" t="str">
        <f aca="false">IF(B133="Surry Hills","Inner",IF(B133="Strathfield","Middle",IF(B133="Campbelltown","Outer","")))</f>
        <v>Outer</v>
      </c>
      <c r="D133" s="11" t="s">
        <v>441</v>
      </c>
      <c r="E133" s="12" t="n">
        <v>915000</v>
      </c>
      <c r="F133" s="11" t="s">
        <v>277</v>
      </c>
      <c r="G133" s="11" t="s">
        <v>81</v>
      </c>
      <c r="H133" s="11" t="n">
        <v>3</v>
      </c>
      <c r="I133" s="11" t="n">
        <v>1</v>
      </c>
      <c r="J133" s="11" t="n">
        <v>1</v>
      </c>
      <c r="K133" s="13" t="n">
        <v>567</v>
      </c>
      <c r="L133" s="13"/>
      <c r="M133" s="14" t="n">
        <f aca="false">IF(B133="Surry Hills",2.5,IF(B133="Strathfield",14,IF(B133="Campbelltown",54,"")))</f>
        <v>54</v>
      </c>
      <c r="N133" s="11"/>
      <c r="O133" s="11"/>
      <c r="P133" s="11" t="s">
        <v>82</v>
      </c>
      <c r="Q133" s="11"/>
    </row>
    <row r="134" customFormat="false" ht="15" hidden="false" customHeight="true" outlineLevel="0" collapsed="false">
      <c r="A134" s="11" t="s">
        <v>442</v>
      </c>
      <c r="B134" s="11" t="s">
        <v>415</v>
      </c>
      <c r="C134" s="11" t="str">
        <f aca="false">IF(B134="Surry Hills","Inner",IF(B134="Strathfield","Middle",IF(B134="Campbelltown","Outer","")))</f>
        <v>Outer</v>
      </c>
      <c r="D134" s="11" t="s">
        <v>443</v>
      </c>
      <c r="E134" s="12" t="n">
        <v>920000</v>
      </c>
      <c r="F134" s="11" t="s">
        <v>94</v>
      </c>
      <c r="G134" s="11" t="s">
        <v>81</v>
      </c>
      <c r="H134" s="11" t="n">
        <v>4</v>
      </c>
      <c r="I134" s="11" t="n">
        <v>2</v>
      </c>
      <c r="J134" s="11" t="n">
        <v>2</v>
      </c>
      <c r="K134" s="13" t="n">
        <v>621</v>
      </c>
      <c r="L134" s="13"/>
      <c r="M134" s="14" t="n">
        <f aca="false">IF(B134="Surry Hills",2.5,IF(B134="Strathfield",14,IF(B134="Campbelltown",54,"")))</f>
        <v>54</v>
      </c>
      <c r="N134" s="11"/>
      <c r="O134" s="11"/>
      <c r="P134" s="11" t="s">
        <v>82</v>
      </c>
      <c r="Q134" s="11"/>
    </row>
    <row r="135" customFormat="false" ht="15" hidden="false" customHeight="true" outlineLevel="0" collapsed="false">
      <c r="A135" s="11" t="s">
        <v>444</v>
      </c>
      <c r="B135" s="11" t="s">
        <v>415</v>
      </c>
      <c r="C135" s="11" t="str">
        <f aca="false">IF(B135="Surry Hills","Inner",IF(B135="Strathfield","Middle",IF(B135="Campbelltown","Outer","")))</f>
        <v>Outer</v>
      </c>
      <c r="D135" s="11" t="s">
        <v>445</v>
      </c>
      <c r="E135" s="12" t="n">
        <v>870000</v>
      </c>
      <c r="F135" s="11" t="s">
        <v>446</v>
      </c>
      <c r="G135" s="11" t="s">
        <v>81</v>
      </c>
      <c r="H135" s="11" t="n">
        <v>2</v>
      </c>
      <c r="I135" s="11" t="n">
        <v>1</v>
      </c>
      <c r="J135" s="11" t="n">
        <v>2</v>
      </c>
      <c r="K135" s="13" t="n">
        <v>606</v>
      </c>
      <c r="L135" s="13"/>
      <c r="M135" s="14" t="n">
        <f aca="false">IF(B135="Surry Hills",2.5,IF(B135="Strathfield",14,IF(B135="Campbelltown",54,"")))</f>
        <v>54</v>
      </c>
      <c r="N135" s="11"/>
      <c r="O135" s="11"/>
      <c r="P135" s="11" t="s">
        <v>82</v>
      </c>
      <c r="Q135" s="11"/>
    </row>
    <row r="136" customFormat="false" ht="15" hidden="false" customHeight="true" outlineLevel="0" collapsed="false">
      <c r="A136" s="11" t="s">
        <v>447</v>
      </c>
      <c r="B136" s="11" t="s">
        <v>415</v>
      </c>
      <c r="C136" s="11" t="str">
        <f aca="false">IF(B136="Surry Hills","Inner",IF(B136="Strathfield","Middle",IF(B136="Campbelltown","Outer","")))</f>
        <v>Outer</v>
      </c>
      <c r="D136" s="11" t="s">
        <v>448</v>
      </c>
      <c r="E136" s="12" t="n">
        <v>915000</v>
      </c>
      <c r="F136" s="11" t="s">
        <v>449</v>
      </c>
      <c r="G136" s="11" t="s">
        <v>81</v>
      </c>
      <c r="H136" s="11" t="n">
        <v>4</v>
      </c>
      <c r="I136" s="11" t="n">
        <v>1</v>
      </c>
      <c r="J136" s="11" t="n">
        <v>1</v>
      </c>
      <c r="K136" s="13" t="n">
        <v>562.8</v>
      </c>
      <c r="L136" s="13"/>
      <c r="M136" s="14" t="n">
        <f aca="false">IF(B136="Surry Hills",2.5,IF(B136="Strathfield",14,IF(B136="Campbelltown",54,"")))</f>
        <v>54</v>
      </c>
      <c r="N136" s="11"/>
      <c r="O136" s="11"/>
      <c r="P136" s="11" t="s">
        <v>82</v>
      </c>
      <c r="Q136" s="11"/>
    </row>
    <row r="137" customFormat="false" ht="15" hidden="false" customHeight="true" outlineLevel="0" collapsed="false">
      <c r="A137" s="11" t="s">
        <v>450</v>
      </c>
      <c r="B137" s="11" t="s">
        <v>415</v>
      </c>
      <c r="C137" s="11" t="str">
        <f aca="false">IF(B137="Surry Hills","Inner",IF(B137="Strathfield","Middle",IF(B137="Campbelltown","Outer","")))</f>
        <v>Outer</v>
      </c>
      <c r="D137" s="11" t="s">
        <v>451</v>
      </c>
      <c r="E137" s="12" t="n">
        <v>584000</v>
      </c>
      <c r="F137" s="11" t="s">
        <v>109</v>
      </c>
      <c r="G137" s="11" t="s">
        <v>61</v>
      </c>
      <c r="H137" s="11" t="n">
        <v>2</v>
      </c>
      <c r="I137" s="11" t="n">
        <v>2</v>
      </c>
      <c r="J137" s="11" t="n">
        <v>1</v>
      </c>
      <c r="K137" s="13"/>
      <c r="L137" s="13" t="n">
        <v>121</v>
      </c>
      <c r="M137" s="14" t="n">
        <f aca="false">IF(B137="Surry Hills",2.5,IF(B137="Strathfield",14,IF(B137="Campbelltown",54,"")))</f>
        <v>54</v>
      </c>
      <c r="N137" s="11"/>
      <c r="O137" s="11"/>
      <c r="P137" s="11" t="s">
        <v>71</v>
      </c>
      <c r="Q137" s="11"/>
    </row>
    <row r="138" customFormat="false" ht="15" hidden="false" customHeight="true" outlineLevel="0" collapsed="false">
      <c r="A138" s="11" t="s">
        <v>452</v>
      </c>
      <c r="B138" s="11" t="s">
        <v>415</v>
      </c>
      <c r="C138" s="11" t="str">
        <f aca="false">IF(B138="Surry Hills","Inner",IF(B138="Strathfield","Middle",IF(B138="Campbelltown","Outer","")))</f>
        <v>Outer</v>
      </c>
      <c r="D138" s="11" t="s">
        <v>453</v>
      </c>
      <c r="E138" s="12" t="n">
        <v>490000</v>
      </c>
      <c r="F138" s="11" t="s">
        <v>454</v>
      </c>
      <c r="G138" s="11" t="s">
        <v>61</v>
      </c>
      <c r="H138" s="11" t="n">
        <v>1</v>
      </c>
      <c r="I138" s="11" t="n">
        <v>1</v>
      </c>
      <c r="J138" s="11" t="n">
        <v>1</v>
      </c>
      <c r="K138" s="13"/>
      <c r="L138" s="13" t="n">
        <v>72</v>
      </c>
      <c r="M138" s="14" t="n">
        <f aca="false">IF(B138="Surry Hills",2.5,IF(B138="Strathfield",14,IF(B138="Campbelltown",54,"")))</f>
        <v>54</v>
      </c>
      <c r="N138" s="11"/>
      <c r="O138" s="11"/>
      <c r="P138" s="11" t="s">
        <v>71</v>
      </c>
      <c r="Q138" s="11"/>
    </row>
    <row r="139" customFormat="false" ht="15" hidden="false" customHeight="true" outlineLevel="0" collapsed="false">
      <c r="A139" s="11" t="s">
        <v>455</v>
      </c>
      <c r="B139" s="11" t="s">
        <v>415</v>
      </c>
      <c r="C139" s="11" t="str">
        <f aca="false">IF(B139="Surry Hills","Inner",IF(B139="Strathfield","Middle",IF(B139="Campbelltown","Outer","")))</f>
        <v>Outer</v>
      </c>
      <c r="D139" s="11" t="s">
        <v>456</v>
      </c>
      <c r="E139" s="12" t="n">
        <v>612500</v>
      </c>
      <c r="F139" s="11" t="s">
        <v>297</v>
      </c>
      <c r="G139" s="11" t="s">
        <v>61</v>
      </c>
      <c r="H139" s="11" t="n">
        <v>2</v>
      </c>
      <c r="I139" s="11" t="n">
        <v>2</v>
      </c>
      <c r="J139" s="11" t="n">
        <v>2</v>
      </c>
      <c r="K139" s="13"/>
      <c r="L139" s="13" t="n">
        <v>82</v>
      </c>
      <c r="M139" s="14" t="n">
        <f aca="false">IF(B139="Surry Hills",2.5,IF(B139="Strathfield",14,IF(B139="Campbelltown",54,"")))</f>
        <v>54</v>
      </c>
      <c r="N139" s="11"/>
      <c r="O139" s="11"/>
      <c r="P139" s="11" t="s">
        <v>349</v>
      </c>
      <c r="Q139" s="11"/>
    </row>
    <row r="140" customFormat="false" ht="15" hidden="false" customHeight="true" outlineLevel="0" collapsed="false">
      <c r="A140" s="11" t="s">
        <v>457</v>
      </c>
      <c r="B140" s="11" t="s">
        <v>415</v>
      </c>
      <c r="C140" s="11" t="str">
        <f aca="false">IF(B140="Surry Hills","Inner",IF(B140="Strathfield","Middle",IF(B140="Campbelltown","Outer","")))</f>
        <v>Outer</v>
      </c>
      <c r="D140" s="11" t="s">
        <v>458</v>
      </c>
      <c r="E140" s="12" t="n">
        <v>990000</v>
      </c>
      <c r="F140" s="11" t="s">
        <v>459</v>
      </c>
      <c r="G140" s="11" t="s">
        <v>81</v>
      </c>
      <c r="H140" s="11" t="n">
        <v>3</v>
      </c>
      <c r="I140" s="11" t="n">
        <v>1</v>
      </c>
      <c r="J140" s="11" t="n">
        <v>1</v>
      </c>
      <c r="K140" s="13" t="n">
        <v>556.4</v>
      </c>
      <c r="L140" s="13"/>
      <c r="M140" s="14" t="n">
        <f aca="false">IF(B140="Surry Hills",2.5,IF(B140="Strathfield",14,IF(B140="Campbelltown",54,"")))</f>
        <v>54</v>
      </c>
      <c r="N140" s="11"/>
      <c r="O140" s="11"/>
      <c r="P140" s="11" t="s">
        <v>82</v>
      </c>
      <c r="Q140" s="11"/>
    </row>
    <row r="141" customFormat="false" ht="15" hidden="false" customHeight="true" outlineLevel="0" collapsed="false">
      <c r="A141" s="11" t="s">
        <v>460</v>
      </c>
      <c r="B141" s="11" t="s">
        <v>415</v>
      </c>
      <c r="C141" s="11" t="str">
        <f aca="false">IF(B141="Surry Hills","Inner",IF(B141="Strathfield","Middle",IF(B141="Campbelltown","Outer","")))</f>
        <v>Outer</v>
      </c>
      <c r="D141" s="11" t="s">
        <v>461</v>
      </c>
      <c r="E141" s="12" t="n">
        <v>1000000</v>
      </c>
      <c r="F141" s="11" t="s">
        <v>302</v>
      </c>
      <c r="G141" s="11" t="s">
        <v>81</v>
      </c>
      <c r="H141" s="11" t="n">
        <v>3</v>
      </c>
      <c r="I141" s="11" t="n">
        <v>1</v>
      </c>
      <c r="J141" s="11" t="n">
        <v>1</v>
      </c>
      <c r="K141" s="13" t="n">
        <v>568</v>
      </c>
      <c r="L141" s="13"/>
      <c r="M141" s="14" t="n">
        <f aca="false">IF(B141="Surry Hills",2.5,IF(B141="Strathfield",14,IF(B141="Campbelltown",54,"")))</f>
        <v>54</v>
      </c>
      <c r="N141" s="11"/>
      <c r="O141" s="11"/>
      <c r="P141" s="11" t="s">
        <v>82</v>
      </c>
      <c r="Q141" s="11"/>
    </row>
    <row r="142" customFormat="false" ht="15" hidden="false" customHeight="true" outlineLevel="0" collapsed="false">
      <c r="A142" s="11" t="s">
        <v>462</v>
      </c>
      <c r="B142" s="11" t="s">
        <v>415</v>
      </c>
      <c r="C142" s="11" t="str">
        <f aca="false">IF(B142="Surry Hills","Inner",IF(B142="Strathfield","Middle",IF(B142="Campbelltown","Outer","")))</f>
        <v>Outer</v>
      </c>
      <c r="D142" s="11" t="s">
        <v>463</v>
      </c>
      <c r="E142" s="12" t="n">
        <v>960000</v>
      </c>
      <c r="F142" s="11" t="s">
        <v>464</v>
      </c>
      <c r="G142" s="11" t="s">
        <v>81</v>
      </c>
      <c r="H142" s="11" t="n">
        <v>3</v>
      </c>
      <c r="I142" s="11" t="n">
        <v>2</v>
      </c>
      <c r="J142" s="11" t="n">
        <v>1</v>
      </c>
      <c r="K142" s="13" t="n">
        <v>248.1</v>
      </c>
      <c r="L142" s="13"/>
      <c r="M142" s="14" t="n">
        <f aca="false">IF(B142="Surry Hills",2.5,IF(B142="Strathfield",14,IF(B142="Campbelltown",54,"")))</f>
        <v>54</v>
      </c>
      <c r="N142" s="11"/>
      <c r="O142" s="11"/>
      <c r="P142" s="11" t="s">
        <v>82</v>
      </c>
      <c r="Q142" s="11"/>
    </row>
    <row r="143" customFormat="false" ht="15" hidden="false" customHeight="true" outlineLevel="0" collapsed="false">
      <c r="A143" s="11" t="s">
        <v>465</v>
      </c>
      <c r="B143" s="11" t="s">
        <v>415</v>
      </c>
      <c r="C143" s="11" t="str">
        <f aca="false">IF(B143="Surry Hills","Inner",IF(B143="Strathfield","Middle",IF(B143="Campbelltown","Outer","")))</f>
        <v>Outer</v>
      </c>
      <c r="D143" s="11" t="s">
        <v>466</v>
      </c>
      <c r="E143" s="12" t="n">
        <v>942500</v>
      </c>
      <c r="F143" s="11" t="s">
        <v>467</v>
      </c>
      <c r="G143" s="11" t="s">
        <v>81</v>
      </c>
      <c r="H143" s="11" t="n">
        <v>4</v>
      </c>
      <c r="I143" s="11" t="n">
        <v>1</v>
      </c>
      <c r="J143" s="11" t="n">
        <v>1</v>
      </c>
      <c r="K143" s="13" t="n">
        <v>569</v>
      </c>
      <c r="L143" s="13"/>
      <c r="M143" s="14" t="n">
        <f aca="false">IF(B143="Surry Hills",2.5,IF(B143="Strathfield",14,IF(B143="Campbelltown",54,"")))</f>
        <v>54</v>
      </c>
      <c r="N143" s="11"/>
      <c r="O143" s="11"/>
      <c r="P143" s="11" t="s">
        <v>82</v>
      </c>
      <c r="Q143" s="11"/>
    </row>
    <row r="144" customFormat="false" ht="15" hidden="false" customHeight="true" outlineLevel="0" collapsed="false">
      <c r="A144" s="11" t="s">
        <v>468</v>
      </c>
      <c r="B144" s="11" t="s">
        <v>415</v>
      </c>
      <c r="C144" s="11" t="str">
        <f aca="false">IF(B144="Surry Hills","Inner",IF(B144="Strathfield","Middle",IF(B144="Campbelltown","Outer","")))</f>
        <v>Outer</v>
      </c>
      <c r="D144" s="11" t="s">
        <v>469</v>
      </c>
      <c r="E144" s="12" t="n">
        <v>1670000</v>
      </c>
      <c r="F144" s="11" t="s">
        <v>470</v>
      </c>
      <c r="G144" s="11" t="s">
        <v>81</v>
      </c>
      <c r="H144" s="11" t="n">
        <v>7</v>
      </c>
      <c r="I144" s="11" t="n">
        <v>4</v>
      </c>
      <c r="J144" s="11" t="n">
        <v>4</v>
      </c>
      <c r="K144" s="13" t="n">
        <v>470</v>
      </c>
      <c r="L144" s="13"/>
      <c r="M144" s="14" t="n">
        <f aca="false">IF(B144="Surry Hills",2.5,IF(B144="Strathfield",14,IF(B144="Campbelltown",54,"")))</f>
        <v>54</v>
      </c>
      <c r="N144" s="11"/>
      <c r="O144" s="11"/>
      <c r="P144" s="11" t="s">
        <v>82</v>
      </c>
      <c r="Q144" s="11"/>
    </row>
    <row r="145" customFormat="false" ht="15" hidden="false" customHeight="true" outlineLevel="0" collapsed="false">
      <c r="A145" s="11" t="s">
        <v>471</v>
      </c>
      <c r="B145" s="11" t="s">
        <v>415</v>
      </c>
      <c r="C145" s="11" t="str">
        <f aca="false">IF(B145="Surry Hills","Inner",IF(B145="Strathfield","Middle",IF(B145="Campbelltown","Outer","")))</f>
        <v>Outer</v>
      </c>
      <c r="D145" s="11" t="s">
        <v>472</v>
      </c>
      <c r="E145" s="12" t="n">
        <v>1353000</v>
      </c>
      <c r="F145" s="11" t="s">
        <v>317</v>
      </c>
      <c r="G145" s="11" t="s">
        <v>81</v>
      </c>
      <c r="H145" s="11" t="n">
        <v>4</v>
      </c>
      <c r="I145" s="11" t="n">
        <v>2</v>
      </c>
      <c r="J145" s="11" t="n">
        <v>2</v>
      </c>
      <c r="K145" s="13" t="n">
        <v>478</v>
      </c>
      <c r="L145" s="13"/>
      <c r="M145" s="14" t="n">
        <f aca="false">IF(B145="Surry Hills",2.5,IF(B145="Strathfield",14,IF(B145="Campbelltown",54,"")))</f>
        <v>54</v>
      </c>
      <c r="N145" s="11"/>
      <c r="O145" s="11"/>
      <c r="P145" s="11" t="s">
        <v>82</v>
      </c>
      <c r="Q145" s="11"/>
    </row>
    <row r="146" customFormat="false" ht="15" hidden="false" customHeight="true" outlineLevel="0" collapsed="false">
      <c r="A146" s="11" t="s">
        <v>473</v>
      </c>
      <c r="B146" s="11" t="s">
        <v>415</v>
      </c>
      <c r="C146" s="11" t="str">
        <f aca="false">IF(B146="Surry Hills","Inner",IF(B146="Strathfield","Middle",IF(B146="Campbelltown","Outer","")))</f>
        <v>Outer</v>
      </c>
      <c r="D146" s="11" t="s">
        <v>474</v>
      </c>
      <c r="E146" s="12" t="n">
        <v>1265000</v>
      </c>
      <c r="F146" s="11" t="s">
        <v>326</v>
      </c>
      <c r="G146" s="11" t="s">
        <v>81</v>
      </c>
      <c r="H146" s="11" t="n">
        <v>5</v>
      </c>
      <c r="I146" s="11" t="n">
        <v>3</v>
      </c>
      <c r="J146" s="11" t="n">
        <v>1</v>
      </c>
      <c r="K146" s="13" t="n">
        <v>249.3</v>
      </c>
      <c r="L146" s="13"/>
      <c r="M146" s="14" t="n">
        <f aca="false">IF(B146="Surry Hills",2.5,IF(B146="Strathfield",14,IF(B146="Campbelltown",54,"")))</f>
        <v>54</v>
      </c>
      <c r="N146" s="11"/>
      <c r="O146" s="11"/>
      <c r="P146" s="11" t="s">
        <v>82</v>
      </c>
      <c r="Q146" s="11"/>
    </row>
    <row r="147" customFormat="false" ht="15" hidden="false" customHeight="true" outlineLevel="0" collapsed="false">
      <c r="A147" s="11" t="s">
        <v>475</v>
      </c>
      <c r="B147" s="11" t="s">
        <v>415</v>
      </c>
      <c r="C147" s="11" t="str">
        <f aca="false">IF(B147="Surry Hills","Inner",IF(B147="Strathfield","Middle",IF(B147="Campbelltown","Outer","")))</f>
        <v>Outer</v>
      </c>
      <c r="D147" s="11" t="s">
        <v>476</v>
      </c>
      <c r="E147" s="12" t="n">
        <v>1226000</v>
      </c>
      <c r="F147" s="11" t="s">
        <v>141</v>
      </c>
      <c r="G147" s="11" t="s">
        <v>81</v>
      </c>
      <c r="H147" s="11" t="n">
        <v>5</v>
      </c>
      <c r="I147" s="11" t="n">
        <v>2</v>
      </c>
      <c r="J147" s="11" t="n">
        <v>3</v>
      </c>
      <c r="K147" s="13" t="n">
        <v>664</v>
      </c>
      <c r="L147" s="13"/>
      <c r="M147" s="14" t="n">
        <f aca="false">IF(B147="Surry Hills",2.5,IF(B147="Strathfield",14,IF(B147="Campbelltown",54,"")))</f>
        <v>54</v>
      </c>
      <c r="N147" s="11"/>
      <c r="O147" s="11"/>
      <c r="P147" s="11" t="s">
        <v>82</v>
      </c>
      <c r="Q147" s="11"/>
    </row>
    <row r="148" customFormat="false" ht="15" hidden="false" customHeight="true" outlineLevel="0" collapsed="false">
      <c r="A148" s="11" t="s">
        <v>477</v>
      </c>
      <c r="B148" s="11" t="s">
        <v>415</v>
      </c>
      <c r="C148" s="11" t="str">
        <f aca="false">IF(B148="Surry Hills","Inner",IF(B148="Strathfield","Middle",IF(B148="Campbelltown","Outer","")))</f>
        <v>Outer</v>
      </c>
      <c r="D148" s="11" t="s">
        <v>478</v>
      </c>
      <c r="E148" s="12" t="n">
        <v>575000</v>
      </c>
      <c r="F148" s="11" t="s">
        <v>141</v>
      </c>
      <c r="G148" s="11" t="s">
        <v>81</v>
      </c>
      <c r="H148" s="11" t="n">
        <v>2</v>
      </c>
      <c r="I148" s="11" t="n">
        <v>2</v>
      </c>
      <c r="J148" s="11" t="n">
        <v>1</v>
      </c>
      <c r="K148" s="13" t="n">
        <v>131</v>
      </c>
      <c r="L148" s="13"/>
      <c r="M148" s="14" t="n">
        <f aca="false">IF(B148="Surry Hills",2.5,IF(B148="Strathfield",14,IF(B148="Campbelltown",54,"")))</f>
        <v>54</v>
      </c>
      <c r="N148" s="11"/>
      <c r="O148" s="11"/>
      <c r="P148" s="11" t="s">
        <v>82</v>
      </c>
      <c r="Q148" s="11"/>
    </row>
    <row r="149" customFormat="false" ht="15" hidden="false" customHeight="true" outlineLevel="0" collapsed="false">
      <c r="A149" s="11" t="s">
        <v>479</v>
      </c>
      <c r="B149" s="11" t="s">
        <v>415</v>
      </c>
      <c r="C149" s="11" t="str">
        <f aca="false">IF(B149="Surry Hills","Inner",IF(B149="Strathfield","Middle",IF(B149="Campbelltown","Outer","")))</f>
        <v>Outer</v>
      </c>
      <c r="D149" s="11" t="s">
        <v>480</v>
      </c>
      <c r="E149" s="12" t="n">
        <v>895000</v>
      </c>
      <c r="F149" s="11" t="s">
        <v>481</v>
      </c>
      <c r="G149" s="11" t="s">
        <v>81</v>
      </c>
      <c r="H149" s="11" t="n">
        <v>3</v>
      </c>
      <c r="I149" s="11" t="n">
        <v>1</v>
      </c>
      <c r="J149" s="11" t="n">
        <v>1</v>
      </c>
      <c r="K149" s="13" t="n">
        <v>619.7</v>
      </c>
      <c r="L149" s="13"/>
      <c r="M149" s="14" t="n">
        <f aca="false">IF(B149="Surry Hills",2.5,IF(B149="Strathfield",14,IF(B149="Campbelltown",54,"")))</f>
        <v>54</v>
      </c>
      <c r="N149" s="11"/>
      <c r="O149" s="11"/>
      <c r="P149" s="11" t="s">
        <v>82</v>
      </c>
      <c r="Q149" s="11"/>
    </row>
    <row r="150" customFormat="false" ht="15" hidden="false" customHeight="true" outlineLevel="0" collapsed="false">
      <c r="A150" s="11" t="s">
        <v>482</v>
      </c>
      <c r="B150" s="11" t="s">
        <v>415</v>
      </c>
      <c r="C150" s="11" t="str">
        <f aca="false">IF(B150="Surry Hills","Inner",IF(B150="Strathfield","Middle",IF(B150="Campbelltown","Outer","")))</f>
        <v>Outer</v>
      </c>
      <c r="D150" s="11" t="s">
        <v>483</v>
      </c>
      <c r="E150" s="12" t="n">
        <v>723000</v>
      </c>
      <c r="F150" s="11" t="s">
        <v>484</v>
      </c>
      <c r="G150" s="11" t="s">
        <v>258</v>
      </c>
      <c r="H150" s="11" t="n">
        <v>2</v>
      </c>
      <c r="I150" s="11" t="n">
        <v>1</v>
      </c>
      <c r="J150" s="11" t="n">
        <v>1</v>
      </c>
      <c r="K150" s="13"/>
      <c r="L150" s="13" t="n">
        <v>80</v>
      </c>
      <c r="M150" s="14" t="n">
        <f aca="false">IF(B150="Surry Hills",2.5,IF(B150="Strathfield",14,IF(B150="Campbelltown",54,"")))</f>
        <v>54</v>
      </c>
      <c r="N150" s="11"/>
      <c r="O150" s="11"/>
      <c r="P150" s="11" t="s">
        <v>259</v>
      </c>
      <c r="Q150" s="11"/>
    </row>
    <row r="151" customFormat="false" ht="15" hidden="false" customHeight="true" outlineLevel="0" collapsed="false">
      <c r="A151" s="11" t="s">
        <v>485</v>
      </c>
      <c r="B151" s="11" t="s">
        <v>415</v>
      </c>
      <c r="C151" s="11" t="str">
        <f aca="false">IF(B151="Surry Hills","Inner",IF(B151="Strathfield","Middle",IF(B151="Campbelltown","Outer","")))</f>
        <v>Outer</v>
      </c>
      <c r="D151" s="11" t="s">
        <v>486</v>
      </c>
      <c r="E151" s="12" t="n">
        <v>740000</v>
      </c>
      <c r="F151" s="11" t="s">
        <v>161</v>
      </c>
      <c r="G151" s="11" t="s">
        <v>61</v>
      </c>
      <c r="H151" s="11" t="n">
        <v>2</v>
      </c>
      <c r="I151" s="11" t="n">
        <v>2</v>
      </c>
      <c r="J151" s="11" t="n">
        <v>1</v>
      </c>
      <c r="K151" s="13"/>
      <c r="L151" s="13" t="n">
        <v>122</v>
      </c>
      <c r="M151" s="14" t="n">
        <f aca="false">IF(B151="Surry Hills",2.5,IF(B151="Strathfield",14,IF(B151="Campbelltown",54,"")))</f>
        <v>54</v>
      </c>
      <c r="N151" s="11"/>
      <c r="O151" s="11"/>
      <c r="P151" s="11" t="s">
        <v>71</v>
      </c>
      <c r="Q151" s="11"/>
    </row>
    <row r="152" customFormat="false" ht="15" hidden="false" customHeight="true" outlineLevel="0" collapsed="false">
      <c r="A152" s="11" t="s">
        <v>487</v>
      </c>
      <c r="B152" s="11" t="s">
        <v>415</v>
      </c>
      <c r="C152" s="11" t="str">
        <f aca="false">IF(B152="Surry Hills","Inner",IF(B152="Strathfield","Middle",IF(B152="Campbelltown","Outer","")))</f>
        <v>Outer</v>
      </c>
      <c r="D152" s="11" t="s">
        <v>488</v>
      </c>
      <c r="E152" s="12" t="n">
        <v>1525000</v>
      </c>
      <c r="F152" s="11" t="s">
        <v>489</v>
      </c>
      <c r="G152" s="11" t="s">
        <v>81</v>
      </c>
      <c r="H152" s="11" t="n">
        <v>16</v>
      </c>
      <c r="I152" s="11" t="n">
        <v>9</v>
      </c>
      <c r="J152" s="11" t="n">
        <v>4</v>
      </c>
      <c r="K152" s="13" t="n">
        <v>797</v>
      </c>
      <c r="L152" s="13"/>
      <c r="M152" s="14" t="n">
        <f aca="false">IF(B152="Surry Hills",2.5,IF(B152="Strathfield",14,IF(B152="Campbelltown",54,"")))</f>
        <v>54</v>
      </c>
      <c r="N152" s="11"/>
      <c r="O152" s="11"/>
      <c r="P152" s="11" t="s">
        <v>82</v>
      </c>
      <c r="Q152" s="11"/>
    </row>
    <row r="153" customFormat="false" ht="15" hidden="false" customHeight="true" outlineLevel="0" collapsed="false">
      <c r="A153" s="11" t="s">
        <v>490</v>
      </c>
      <c r="B153" s="11" t="s">
        <v>415</v>
      </c>
      <c r="C153" s="11" t="str">
        <f aca="false">IF(B153="Surry Hills","Inner",IF(B153="Strathfield","Middle",IF(B153="Campbelltown","Outer","")))</f>
        <v>Outer</v>
      </c>
      <c r="D153" s="11" t="s">
        <v>491</v>
      </c>
      <c r="E153" s="12" t="n">
        <v>445000</v>
      </c>
      <c r="F153" s="11" t="s">
        <v>489</v>
      </c>
      <c r="G153" s="11" t="s">
        <v>61</v>
      </c>
      <c r="H153" s="11" t="n">
        <v>2</v>
      </c>
      <c r="I153" s="11" t="n">
        <v>1</v>
      </c>
      <c r="J153" s="11" t="n">
        <v>1</v>
      </c>
      <c r="K153" s="13"/>
      <c r="L153" s="13" t="n">
        <v>106</v>
      </c>
      <c r="M153" s="14" t="n">
        <f aca="false">IF(B153="Surry Hills",2.5,IF(B153="Strathfield",14,IF(B153="Campbelltown",54,"")))</f>
        <v>54</v>
      </c>
      <c r="N153" s="11"/>
      <c r="O153" s="11"/>
      <c r="P153" s="11" t="s">
        <v>349</v>
      </c>
      <c r="Q153" s="11"/>
    </row>
    <row r="154" customFormat="false" ht="15" hidden="false" customHeight="true" outlineLevel="0" collapsed="false">
      <c r="A154" s="11" t="s">
        <v>492</v>
      </c>
      <c r="B154" s="11" t="s">
        <v>415</v>
      </c>
      <c r="C154" s="11" t="str">
        <f aca="false">IF(B154="Surry Hills","Inner",IF(B154="Strathfield","Middle",IF(B154="Campbelltown","Outer","")))</f>
        <v>Outer</v>
      </c>
      <c r="D154" s="11" t="s">
        <v>493</v>
      </c>
      <c r="E154" s="12" t="n">
        <v>960000</v>
      </c>
      <c r="F154" s="11" t="s">
        <v>364</v>
      </c>
      <c r="G154" s="11" t="s">
        <v>81</v>
      </c>
      <c r="H154" s="11" t="n">
        <v>3</v>
      </c>
      <c r="I154" s="11" t="n">
        <v>2</v>
      </c>
      <c r="J154" s="11" t="n">
        <v>1</v>
      </c>
      <c r="K154" s="13" t="n">
        <v>613</v>
      </c>
      <c r="L154" s="13"/>
      <c r="M154" s="14" t="n">
        <f aca="false">IF(B154="Surry Hills",2.5,IF(B154="Strathfield",14,IF(B154="Campbelltown",54,"")))</f>
        <v>54</v>
      </c>
      <c r="N154" s="11"/>
      <c r="O154" s="11"/>
      <c r="P154" s="11" t="s">
        <v>82</v>
      </c>
      <c r="Q154" s="11"/>
    </row>
    <row r="155" customFormat="false" ht="15" hidden="false" customHeight="true" outlineLevel="0" collapsed="false">
      <c r="A155" s="11" t="s">
        <v>494</v>
      </c>
      <c r="B155" s="11" t="s">
        <v>415</v>
      </c>
      <c r="C155" s="11" t="str">
        <f aca="false">IF(B155="Surry Hills","Inner",IF(B155="Strathfield","Middle",IF(B155="Campbelltown","Outer","")))</f>
        <v>Outer</v>
      </c>
      <c r="D155" s="11" t="s">
        <v>495</v>
      </c>
      <c r="E155" s="12" t="n">
        <v>710000</v>
      </c>
      <c r="F155" s="11" t="s">
        <v>176</v>
      </c>
      <c r="G155" s="11" t="s">
        <v>61</v>
      </c>
      <c r="H155" s="11" t="n">
        <v>2</v>
      </c>
      <c r="I155" s="11" t="n">
        <v>2</v>
      </c>
      <c r="J155" s="11" t="n">
        <v>1</v>
      </c>
      <c r="K155" s="13"/>
      <c r="L155" s="13" t="n">
        <v>106</v>
      </c>
      <c r="M155" s="14" t="n">
        <f aca="false">IF(B155="Surry Hills",2.5,IF(B155="Strathfield",14,IF(B155="Campbelltown",54,"")))</f>
        <v>54</v>
      </c>
      <c r="N155" s="11"/>
      <c r="O155" s="11"/>
      <c r="P155" s="11" t="s">
        <v>71</v>
      </c>
      <c r="Q155" s="11"/>
    </row>
    <row r="156" customFormat="false" ht="15" hidden="false" customHeight="true" outlineLevel="0" collapsed="false">
      <c r="A156" s="11" t="s">
        <v>496</v>
      </c>
      <c r="B156" s="11" t="s">
        <v>415</v>
      </c>
      <c r="C156" s="11" t="str">
        <f aca="false">IF(B156="Surry Hills","Inner",IF(B156="Strathfield","Middle",IF(B156="Campbelltown","Outer","")))</f>
        <v>Outer</v>
      </c>
      <c r="D156" s="11" t="s">
        <v>497</v>
      </c>
      <c r="E156" s="12" t="n">
        <v>610000</v>
      </c>
      <c r="F156" s="11" t="s">
        <v>375</v>
      </c>
      <c r="G156" s="11" t="s">
        <v>81</v>
      </c>
      <c r="H156" s="11" t="n">
        <v>2</v>
      </c>
      <c r="I156" s="11" t="n">
        <v>2</v>
      </c>
      <c r="J156" s="11" t="n">
        <v>1</v>
      </c>
      <c r="K156" s="13" t="n">
        <v>151</v>
      </c>
      <c r="L156" s="13"/>
      <c r="M156" s="14" t="n">
        <f aca="false">IF(B156="Surry Hills",2.5,IF(B156="Strathfield",14,IF(B156="Campbelltown",54,"")))</f>
        <v>54</v>
      </c>
      <c r="N156" s="11"/>
      <c r="O156" s="11"/>
      <c r="P156" s="11" t="s">
        <v>82</v>
      </c>
      <c r="Q156" s="11"/>
    </row>
    <row r="157" customFormat="false" ht="15" hidden="false" customHeight="true" outlineLevel="0" collapsed="false">
      <c r="A157" s="11" t="s">
        <v>498</v>
      </c>
      <c r="B157" s="11" t="s">
        <v>415</v>
      </c>
      <c r="C157" s="11" t="str">
        <f aca="false">IF(B157="Surry Hills","Inner",IF(B157="Strathfield","Middle",IF(B157="Campbelltown","Outer","")))</f>
        <v>Outer</v>
      </c>
      <c r="D157" s="11" t="s">
        <v>499</v>
      </c>
      <c r="E157" s="12" t="n">
        <v>1062000</v>
      </c>
      <c r="F157" s="11" t="s">
        <v>500</v>
      </c>
      <c r="G157" s="11" t="s">
        <v>81</v>
      </c>
      <c r="H157" s="11" t="n">
        <v>4</v>
      </c>
      <c r="I157" s="11" t="n">
        <v>2</v>
      </c>
      <c r="J157" s="11" t="n">
        <v>1</v>
      </c>
      <c r="K157" s="13" t="n">
        <v>556</v>
      </c>
      <c r="L157" s="13"/>
      <c r="M157" s="14" t="n">
        <f aca="false">IF(B157="Surry Hills",2.5,IF(B157="Strathfield",14,IF(B157="Campbelltown",54,"")))</f>
        <v>54</v>
      </c>
      <c r="N157" s="11"/>
      <c r="O157" s="11"/>
      <c r="P157" s="11" t="s">
        <v>82</v>
      </c>
      <c r="Q157" s="11"/>
    </row>
    <row r="158" customFormat="false" ht="15" hidden="false" customHeight="true" outlineLevel="0" collapsed="false">
      <c r="A158" s="11" t="s">
        <v>501</v>
      </c>
      <c r="B158" s="11" t="s">
        <v>415</v>
      </c>
      <c r="C158" s="11" t="str">
        <f aca="false">IF(B158="Surry Hills","Inner",IF(B158="Strathfield","Middle",IF(B158="Campbelltown","Outer","")))</f>
        <v>Outer</v>
      </c>
      <c r="D158" s="11" t="s">
        <v>502</v>
      </c>
      <c r="E158" s="12" t="n">
        <v>928000</v>
      </c>
      <c r="F158" s="11" t="s">
        <v>503</v>
      </c>
      <c r="G158" s="11" t="s">
        <v>81</v>
      </c>
      <c r="H158" s="11" t="n">
        <v>3</v>
      </c>
      <c r="I158" s="11" t="n">
        <v>1</v>
      </c>
      <c r="J158" s="11"/>
      <c r="K158" s="13" t="n">
        <v>601</v>
      </c>
      <c r="L158" s="13"/>
      <c r="M158" s="14" t="n">
        <f aca="false">IF(B158="Surry Hills",2.5,IF(B158="Strathfield",14,IF(B158="Campbelltown",54,"")))</f>
        <v>54</v>
      </c>
      <c r="N158" s="11"/>
      <c r="O158" s="11"/>
      <c r="P158" s="11" t="s">
        <v>82</v>
      </c>
      <c r="Q158" s="11"/>
    </row>
    <row r="159" customFormat="false" ht="15" hidden="false" customHeight="true" outlineLevel="0" collapsed="false">
      <c r="A159" s="11" t="s">
        <v>504</v>
      </c>
      <c r="B159" s="11" t="s">
        <v>415</v>
      </c>
      <c r="C159" s="11" t="str">
        <f aca="false">IF(B159="Surry Hills","Inner",IF(B159="Strathfield","Middle",IF(B159="Campbelltown","Outer","")))</f>
        <v>Outer</v>
      </c>
      <c r="D159" s="11" t="s">
        <v>505</v>
      </c>
      <c r="E159" s="12" t="n">
        <v>430000</v>
      </c>
      <c r="F159" s="11" t="s">
        <v>506</v>
      </c>
      <c r="G159" s="11" t="s">
        <v>81</v>
      </c>
      <c r="H159" s="11" t="n">
        <v>1</v>
      </c>
      <c r="I159" s="11" t="n">
        <v>1</v>
      </c>
      <c r="J159" s="11" t="n">
        <v>1</v>
      </c>
      <c r="K159" s="13" t="n">
        <v>71</v>
      </c>
      <c r="L159" s="13"/>
      <c r="M159" s="14" t="n">
        <f aca="false">IF(B159="Surry Hills",2.5,IF(B159="Strathfield",14,IF(B159="Campbelltown",54,"")))</f>
        <v>54</v>
      </c>
      <c r="N159" s="11"/>
      <c r="O159" s="11"/>
      <c r="P159" s="11" t="s">
        <v>82</v>
      </c>
      <c r="Q159" s="11"/>
    </row>
    <row r="160" customFormat="false" ht="15" hidden="false" customHeight="true" outlineLevel="0" collapsed="false">
      <c r="A160" s="11" t="s">
        <v>507</v>
      </c>
      <c r="B160" s="11" t="s">
        <v>415</v>
      </c>
      <c r="C160" s="11" t="str">
        <f aca="false">IF(B160="Surry Hills","Inner",IF(B160="Strathfield","Middle",IF(B160="Campbelltown","Outer","")))</f>
        <v>Outer</v>
      </c>
      <c r="D160" s="11" t="s">
        <v>508</v>
      </c>
      <c r="E160" s="12" t="n">
        <v>1205000</v>
      </c>
      <c r="F160" s="11" t="s">
        <v>509</v>
      </c>
      <c r="G160" s="11" t="s">
        <v>81</v>
      </c>
      <c r="H160" s="11" t="n">
        <v>4</v>
      </c>
      <c r="I160" s="11" t="n">
        <v>2</v>
      </c>
      <c r="J160" s="11" t="n">
        <v>5</v>
      </c>
      <c r="K160" s="13" t="n">
        <v>868</v>
      </c>
      <c r="L160" s="13"/>
      <c r="M160" s="14" t="n">
        <f aca="false">IF(B160="Surry Hills",2.5,IF(B160="Strathfield",14,IF(B160="Campbelltown",54,"")))</f>
        <v>54</v>
      </c>
      <c r="N160" s="11"/>
      <c r="O160" s="11"/>
      <c r="P160" s="11" t="s">
        <v>82</v>
      </c>
      <c r="Q160" s="11"/>
    </row>
    <row r="161" customFormat="false" ht="15" hidden="false" customHeight="true" outlineLevel="0" collapsed="false">
      <c r="A161" s="11" t="s">
        <v>510</v>
      </c>
      <c r="B161" s="11" t="s">
        <v>415</v>
      </c>
      <c r="C161" s="11" t="str">
        <f aca="false">IF(B161="Surry Hills","Inner",IF(B161="Strathfield","Middle",IF(B161="Campbelltown","Outer","")))</f>
        <v>Outer</v>
      </c>
      <c r="D161" s="11" t="s">
        <v>511</v>
      </c>
      <c r="E161" s="12" t="n">
        <v>1465000</v>
      </c>
      <c r="F161" s="11" t="s">
        <v>512</v>
      </c>
      <c r="G161" s="11" t="s">
        <v>81</v>
      </c>
      <c r="H161" s="11" t="n">
        <v>4</v>
      </c>
      <c r="I161" s="11" t="n">
        <v>3</v>
      </c>
      <c r="J161" s="11" t="n">
        <v>2</v>
      </c>
      <c r="K161" s="13" t="n">
        <v>450</v>
      </c>
      <c r="L161" s="13"/>
      <c r="M161" s="14" t="n">
        <f aca="false">IF(B161="Surry Hills",2.5,IF(B161="Strathfield",14,IF(B161="Campbelltown",54,"")))</f>
        <v>54</v>
      </c>
      <c r="N161" s="11"/>
      <c r="O161" s="11"/>
      <c r="P161" s="11" t="s">
        <v>82</v>
      </c>
      <c r="Q161" s="11"/>
    </row>
    <row r="162" customFormat="false" ht="15" hidden="false" customHeight="true" outlineLevel="0" collapsed="false">
      <c r="A162" s="11" t="s">
        <v>513</v>
      </c>
      <c r="B162" s="11" t="s">
        <v>415</v>
      </c>
      <c r="C162" s="11" t="str">
        <f aca="false">IF(B162="Surry Hills","Inner",IF(B162="Strathfield","Middle",IF(B162="Campbelltown","Outer","")))</f>
        <v>Outer</v>
      </c>
      <c r="D162" s="11" t="s">
        <v>514</v>
      </c>
      <c r="E162" s="12" t="n">
        <v>1080000</v>
      </c>
      <c r="F162" s="11" t="s">
        <v>515</v>
      </c>
      <c r="G162" s="11" t="s">
        <v>81</v>
      </c>
      <c r="H162" s="11" t="n">
        <v>4</v>
      </c>
      <c r="I162" s="11" t="n">
        <v>2</v>
      </c>
      <c r="J162" s="11" t="n">
        <v>1</v>
      </c>
      <c r="K162" s="13" t="n">
        <v>292</v>
      </c>
      <c r="L162" s="13"/>
      <c r="M162" s="14" t="n">
        <f aca="false">IF(B162="Surry Hills",2.5,IF(B162="Strathfield",14,IF(B162="Campbelltown",54,"")))</f>
        <v>54</v>
      </c>
      <c r="N162" s="11"/>
      <c r="O162" s="11"/>
      <c r="P162" s="11" t="s">
        <v>82</v>
      </c>
      <c r="Q162" s="11"/>
    </row>
    <row r="163" customFormat="false" ht="15" hidden="false" customHeight="true" outlineLevel="0" collapsed="false">
      <c r="A163" s="11" t="s">
        <v>516</v>
      </c>
      <c r="B163" s="11" t="s">
        <v>415</v>
      </c>
      <c r="C163" s="11" t="str">
        <f aca="false">IF(B163="Surry Hills","Inner",IF(B163="Strathfield","Middle",IF(B163="Campbelltown","Outer","")))</f>
        <v>Outer</v>
      </c>
      <c r="D163" s="11" t="s">
        <v>517</v>
      </c>
      <c r="E163" s="12" t="n">
        <v>940000</v>
      </c>
      <c r="F163" s="11" t="s">
        <v>518</v>
      </c>
      <c r="G163" s="11" t="s">
        <v>81</v>
      </c>
      <c r="H163" s="11" t="n">
        <v>3</v>
      </c>
      <c r="I163" s="11" t="n">
        <v>1</v>
      </c>
      <c r="J163" s="11" t="n">
        <v>1</v>
      </c>
      <c r="K163" s="13" t="n">
        <v>544</v>
      </c>
      <c r="L163" s="13"/>
      <c r="M163" s="14" t="n">
        <f aca="false">IF(B163="Surry Hills",2.5,IF(B163="Strathfield",14,IF(B163="Campbelltown",54,"")))</f>
        <v>54</v>
      </c>
      <c r="N163" s="11"/>
      <c r="O163" s="11"/>
      <c r="P163" s="11" t="s">
        <v>82</v>
      </c>
      <c r="Q163" s="11"/>
    </row>
    <row r="164" customFormat="false" ht="15" hidden="false" customHeight="true" outlineLevel="0" collapsed="false">
      <c r="A164" s="11" t="s">
        <v>519</v>
      </c>
      <c r="B164" s="11" t="s">
        <v>415</v>
      </c>
      <c r="C164" s="11" t="str">
        <f aca="false">IF(B164="Surry Hills","Inner",IF(B164="Strathfield","Middle",IF(B164="Campbelltown","Outer","")))</f>
        <v>Outer</v>
      </c>
      <c r="D164" s="11" t="s">
        <v>520</v>
      </c>
      <c r="E164" s="12" t="n">
        <v>1140000</v>
      </c>
      <c r="F164" s="11" t="s">
        <v>402</v>
      </c>
      <c r="G164" s="11" t="s">
        <v>81</v>
      </c>
      <c r="H164" s="11" t="n">
        <v>4</v>
      </c>
      <c r="I164" s="11" t="n">
        <v>2</v>
      </c>
      <c r="J164" s="11" t="n">
        <v>2</v>
      </c>
      <c r="K164" s="13" t="n">
        <v>822</v>
      </c>
      <c r="L164" s="13"/>
      <c r="M164" s="14" t="n">
        <f aca="false">IF(B164="Surry Hills",2.5,IF(B164="Strathfield",14,IF(B164="Campbelltown",54,"")))</f>
        <v>54</v>
      </c>
      <c r="N164" s="11"/>
      <c r="O164" s="11"/>
      <c r="P164" s="11" t="s">
        <v>82</v>
      </c>
      <c r="Q164" s="11"/>
    </row>
    <row r="165" customFormat="false" ht="15" hidden="false" customHeight="true" outlineLevel="0" collapsed="false">
      <c r="A165" s="11" t="s">
        <v>521</v>
      </c>
      <c r="B165" s="11" t="s">
        <v>415</v>
      </c>
      <c r="C165" s="11" t="str">
        <f aca="false">IF(B165="Surry Hills","Inner",IF(B165="Strathfield","Middle",IF(B165="Campbelltown","Outer","")))</f>
        <v>Outer</v>
      </c>
      <c r="D165" s="11" t="s">
        <v>522</v>
      </c>
      <c r="E165" s="12" t="n">
        <v>1200000</v>
      </c>
      <c r="F165" s="11" t="s">
        <v>523</v>
      </c>
      <c r="G165" s="11" t="s">
        <v>81</v>
      </c>
      <c r="H165" s="11" t="n">
        <v>6</v>
      </c>
      <c r="I165" s="11" t="n">
        <v>2</v>
      </c>
      <c r="J165" s="11" t="n">
        <v>2</v>
      </c>
      <c r="K165" s="13" t="n">
        <v>556</v>
      </c>
      <c r="L165" s="13"/>
      <c r="M165" s="14" t="n">
        <f aca="false">IF(B165="Surry Hills",2.5,IF(B165="Strathfield",14,IF(B165="Campbelltown",54,"")))</f>
        <v>54</v>
      </c>
      <c r="N165" s="11"/>
      <c r="O165" s="11"/>
      <c r="P165" s="11" t="s">
        <v>82</v>
      </c>
      <c r="Q165" s="11"/>
    </row>
    <row r="166" customFormat="false" ht="15" hidden="false" customHeight="true" outlineLevel="0" collapsed="false">
      <c r="A166" s="11" t="s">
        <v>524</v>
      </c>
      <c r="B166" s="11" t="s">
        <v>415</v>
      </c>
      <c r="C166" s="11" t="str">
        <f aca="false">IF(B166="Surry Hills","Inner",IF(B166="Strathfield","Middle",IF(B166="Campbelltown","Outer","")))</f>
        <v>Outer</v>
      </c>
      <c r="D166" s="11" t="s">
        <v>525</v>
      </c>
      <c r="E166" s="12" t="n">
        <v>1055000</v>
      </c>
      <c r="F166" s="11" t="s">
        <v>413</v>
      </c>
      <c r="G166" s="11" t="s">
        <v>81</v>
      </c>
      <c r="H166" s="11" t="n">
        <v>3</v>
      </c>
      <c r="I166" s="11" t="n">
        <v>2</v>
      </c>
      <c r="J166" s="11" t="n">
        <v>2</v>
      </c>
      <c r="K166" s="13" t="n">
        <v>449.9</v>
      </c>
      <c r="L166" s="13"/>
      <c r="M166" s="14" t="n">
        <f aca="false">IF(B166="Surry Hills",2.5,IF(B166="Strathfield",14,IF(B166="Campbelltown",54,"")))</f>
        <v>54</v>
      </c>
      <c r="N166" s="11"/>
      <c r="O166" s="11"/>
      <c r="P166" s="11" t="s">
        <v>82</v>
      </c>
      <c r="Q166" s="11"/>
    </row>
    <row r="167" customFormat="false" ht="15" hidden="false" customHeight="true" outlineLevel="0" collapsed="false">
      <c r="A167" s="11" t="s">
        <v>526</v>
      </c>
      <c r="B167" s="11" t="s">
        <v>415</v>
      </c>
      <c r="C167" s="11" t="str">
        <f aca="false">IF(B167="Surry Hills","Inner",IF(B167="Strathfield","Middle",IF(B167="Campbelltown","Outer","")))</f>
        <v>Outer</v>
      </c>
      <c r="D167" s="11" t="s">
        <v>527</v>
      </c>
      <c r="E167" s="12" t="n">
        <v>920000</v>
      </c>
      <c r="F167" s="11" t="s">
        <v>196</v>
      </c>
      <c r="G167" s="11" t="s">
        <v>81</v>
      </c>
      <c r="H167" s="11" t="n">
        <v>3</v>
      </c>
      <c r="I167" s="11" t="n">
        <v>1</v>
      </c>
      <c r="J167" s="11"/>
      <c r="K167" s="13" t="n">
        <v>708.2</v>
      </c>
      <c r="L167" s="13"/>
      <c r="M167" s="14" t="n">
        <f aca="false">IF(B167="Surry Hills",2.5,IF(B167="Strathfield",14,IF(B167="Campbelltown",54,"")))</f>
        <v>54</v>
      </c>
      <c r="N167" s="11"/>
      <c r="O167" s="11"/>
      <c r="P167" s="11" t="s">
        <v>82</v>
      </c>
      <c r="Q167" s="11"/>
    </row>
    <row r="168" customFormat="false" ht="15" hidden="false" customHeight="true" outlineLevel="0" collapsed="false">
      <c r="A168" s="11" t="s">
        <v>528</v>
      </c>
      <c r="B168" s="11" t="s">
        <v>415</v>
      </c>
      <c r="C168" s="11" t="str">
        <f aca="false">IF(B168="Surry Hills","Inner",IF(B168="Strathfield","Middle",IF(B168="Campbelltown","Outer","")))</f>
        <v>Outer</v>
      </c>
      <c r="D168" s="11" t="s">
        <v>529</v>
      </c>
      <c r="E168" s="12" t="n">
        <v>950000</v>
      </c>
      <c r="F168" s="11" t="s">
        <v>530</v>
      </c>
      <c r="G168" s="11" t="s">
        <v>81</v>
      </c>
      <c r="H168" s="11" t="n">
        <v>3</v>
      </c>
      <c r="I168" s="11" t="n">
        <v>2</v>
      </c>
      <c r="J168" s="11" t="n">
        <v>1</v>
      </c>
      <c r="K168" s="13" t="n">
        <v>287</v>
      </c>
      <c r="L168" s="13"/>
      <c r="M168" s="14" t="n">
        <f aca="false">IF(B168="Surry Hills",2.5,IF(B168="Strathfield",14,IF(B168="Campbelltown",54,"")))</f>
        <v>54</v>
      </c>
      <c r="N168" s="11"/>
      <c r="O168" s="11"/>
      <c r="P168" s="11" t="s">
        <v>82</v>
      </c>
      <c r="Q168" s="11"/>
    </row>
    <row r="169" customFormat="false" ht="15" hidden="false" customHeight="true" outlineLevel="0" collapsed="false">
      <c r="A169" s="11" t="s">
        <v>531</v>
      </c>
      <c r="B169" s="11" t="s">
        <v>415</v>
      </c>
      <c r="C169" s="11" t="str">
        <f aca="false">IF(B169="Surry Hills","Inner",IF(B169="Strathfield","Middle",IF(B169="Campbelltown","Outer","")))</f>
        <v>Outer</v>
      </c>
      <c r="D169" s="11" t="s">
        <v>532</v>
      </c>
      <c r="E169" s="12" t="n">
        <v>1195000</v>
      </c>
      <c r="F169" s="11" t="s">
        <v>209</v>
      </c>
      <c r="G169" s="11" t="s">
        <v>81</v>
      </c>
      <c r="H169" s="11" t="n">
        <v>5</v>
      </c>
      <c r="I169" s="11" t="n">
        <v>2</v>
      </c>
      <c r="J169" s="11" t="n">
        <v>4</v>
      </c>
      <c r="K169" s="13" t="n">
        <v>588.1</v>
      </c>
      <c r="L169" s="13"/>
      <c r="M169" s="14" t="n">
        <f aca="false">IF(B169="Surry Hills",2.5,IF(B169="Strathfield",14,IF(B169="Campbelltown",54,"")))</f>
        <v>54</v>
      </c>
      <c r="N169" s="11"/>
      <c r="O169" s="11"/>
      <c r="P169" s="11" t="s">
        <v>82</v>
      </c>
      <c r="Q169" s="11"/>
    </row>
    <row r="170" customFormat="false" ht="15" hidden="false" customHeight="true" outlineLevel="0" collapsed="false">
      <c r="A170" s="11" t="s">
        <v>533</v>
      </c>
      <c r="B170" s="11" t="s">
        <v>415</v>
      </c>
      <c r="C170" s="11" t="str">
        <f aca="false">IF(B170="Surry Hills","Inner",IF(B170="Strathfield","Middle",IF(B170="Campbelltown","Outer","")))</f>
        <v>Outer</v>
      </c>
      <c r="D170" s="11" t="s">
        <v>534</v>
      </c>
      <c r="E170" s="12" t="n">
        <v>541000</v>
      </c>
      <c r="F170" s="11" t="s">
        <v>535</v>
      </c>
      <c r="G170" s="11" t="s">
        <v>61</v>
      </c>
      <c r="H170" s="11" t="n">
        <v>2</v>
      </c>
      <c r="I170" s="11" t="n">
        <v>2</v>
      </c>
      <c r="J170" s="11" t="n">
        <v>1</v>
      </c>
      <c r="K170" s="13"/>
      <c r="L170" s="13" t="n">
        <v>111</v>
      </c>
      <c r="M170" s="14" t="n">
        <f aca="false">IF(B170="Surry Hills",2.5,IF(B170="Strathfield",14,IF(B170="Campbelltown",54,"")))</f>
        <v>54</v>
      </c>
      <c r="N170" s="11"/>
      <c r="O170" s="11"/>
      <c r="P170" s="11" t="s">
        <v>71</v>
      </c>
      <c r="Q170" s="11"/>
    </row>
    <row r="171" customFormat="false" ht="15" hidden="false" customHeight="true" outlineLevel="0" collapsed="false">
      <c r="A171" s="11" t="s">
        <v>536</v>
      </c>
      <c r="B171" s="11" t="s">
        <v>415</v>
      </c>
      <c r="C171" s="11" t="str">
        <f aca="false">IF(B171="Surry Hills","Inner",IF(B171="Strathfield","Middle",IF(B171="Campbelltown","Outer","")))</f>
        <v>Outer</v>
      </c>
      <c r="D171" s="11" t="s">
        <v>537</v>
      </c>
      <c r="E171" s="12" t="n">
        <v>1260000</v>
      </c>
      <c r="F171" s="11" t="s">
        <v>217</v>
      </c>
      <c r="G171" s="11" t="s">
        <v>81</v>
      </c>
      <c r="H171" s="11" t="n">
        <v>4</v>
      </c>
      <c r="I171" s="11" t="n">
        <v>3</v>
      </c>
      <c r="J171" s="11" t="n">
        <v>2</v>
      </c>
      <c r="K171" s="13" t="n">
        <v>293.8</v>
      </c>
      <c r="L171" s="13"/>
      <c r="M171" s="14" t="n">
        <f aca="false">IF(B171="Surry Hills",2.5,IF(B171="Strathfield",14,IF(B171="Campbelltown",54,"")))</f>
        <v>54</v>
      </c>
      <c r="N171" s="11"/>
      <c r="O171" s="11"/>
      <c r="P171" s="11" t="s">
        <v>82</v>
      </c>
      <c r="Q171" s="11"/>
    </row>
    <row r="172" customFormat="false" ht="15" hidden="false" customHeight="true" outlineLevel="0" collapsed="false">
      <c r="A172" s="11" t="s">
        <v>538</v>
      </c>
      <c r="B172" s="11" t="s">
        <v>415</v>
      </c>
      <c r="C172" s="11" t="str">
        <f aca="false">IF(B172="Surry Hills","Inner",IF(B172="Strathfield","Middle",IF(B172="Campbelltown","Outer","")))</f>
        <v>Outer</v>
      </c>
      <c r="D172" s="11" t="s">
        <v>539</v>
      </c>
      <c r="E172" s="12" t="n">
        <v>896000</v>
      </c>
      <c r="F172" s="11" t="s">
        <v>540</v>
      </c>
      <c r="G172" s="11" t="s">
        <v>81</v>
      </c>
      <c r="H172" s="11" t="n">
        <v>4</v>
      </c>
      <c r="I172" s="11" t="n">
        <v>1</v>
      </c>
      <c r="J172" s="11" t="n">
        <v>1</v>
      </c>
      <c r="K172" s="13" t="n">
        <v>556</v>
      </c>
      <c r="L172" s="13"/>
      <c r="M172" s="14" t="n">
        <f aca="false">IF(B172="Surry Hills",2.5,IF(B172="Strathfield",14,IF(B172="Campbelltown",54,"")))</f>
        <v>54</v>
      </c>
      <c r="N172" s="11"/>
      <c r="O172" s="11"/>
      <c r="P172" s="11" t="s">
        <v>82</v>
      </c>
      <c r="Q172" s="11"/>
    </row>
    <row r="173" customFormat="false" ht="15" hidden="false" customHeight="true" outlineLevel="0" collapsed="false">
      <c r="A173" s="11" t="s">
        <v>541</v>
      </c>
      <c r="B173" s="11" t="s">
        <v>415</v>
      </c>
      <c r="C173" s="11" t="str">
        <f aca="false">IF(B173="Surry Hills","Inner",IF(B173="Strathfield","Middle",IF(B173="Campbelltown","Outer","")))</f>
        <v>Outer</v>
      </c>
      <c r="D173" s="11" t="s">
        <v>542</v>
      </c>
      <c r="E173" s="12" t="n">
        <v>632000</v>
      </c>
      <c r="F173" s="11" t="s">
        <v>543</v>
      </c>
      <c r="G173" s="11" t="s">
        <v>61</v>
      </c>
      <c r="H173" s="11" t="n">
        <v>3</v>
      </c>
      <c r="I173" s="11" t="n">
        <v>1</v>
      </c>
      <c r="J173" s="11" t="n">
        <v>1</v>
      </c>
      <c r="K173" s="13"/>
      <c r="L173" s="13" t="n">
        <v>150</v>
      </c>
      <c r="M173" s="14" t="n">
        <f aca="false">IF(B173="Surry Hills",2.5,IF(B173="Strathfield",14,IF(B173="Campbelltown",54,"")))</f>
        <v>54</v>
      </c>
      <c r="N173" s="11"/>
      <c r="O173" s="11"/>
      <c r="P173" s="11" t="s">
        <v>544</v>
      </c>
      <c r="Q173" s="11"/>
    </row>
    <row r="174" customFormat="false" ht="15" hidden="false" customHeight="true" outlineLevel="0" collapsed="false">
      <c r="A174" s="11" t="s">
        <v>545</v>
      </c>
      <c r="B174" s="11" t="s">
        <v>415</v>
      </c>
      <c r="C174" s="11" t="str">
        <f aca="false">IF(B174="Surry Hills","Inner",IF(B174="Strathfield","Middle",IF(B174="Campbelltown","Outer","")))</f>
        <v>Outer</v>
      </c>
      <c r="D174" s="11" t="s">
        <v>546</v>
      </c>
      <c r="E174" s="12" t="n">
        <v>1175000</v>
      </c>
      <c r="F174" s="11" t="s">
        <v>547</v>
      </c>
      <c r="G174" s="11" t="s">
        <v>81</v>
      </c>
      <c r="H174" s="11" t="n">
        <v>3</v>
      </c>
      <c r="I174" s="11" t="n">
        <v>1</v>
      </c>
      <c r="J174" s="11" t="n">
        <v>2</v>
      </c>
      <c r="K174" s="13" t="n">
        <v>650</v>
      </c>
      <c r="L174" s="13"/>
      <c r="M174" s="14" t="n">
        <f aca="false">IF(B174="Surry Hills",2.5,IF(B174="Strathfield",14,IF(B174="Campbelltown",54,"")))</f>
        <v>54</v>
      </c>
      <c r="N174" s="11"/>
      <c r="O174" s="11"/>
      <c r="P174" s="11" t="s">
        <v>82</v>
      </c>
      <c r="Q174" s="11"/>
    </row>
    <row r="175" customFormat="false" ht="15" hidden="false" customHeight="true" outlineLevel="0" collapsed="false">
      <c r="A175" s="11" t="s">
        <v>548</v>
      </c>
      <c r="B175" s="11" t="s">
        <v>415</v>
      </c>
      <c r="C175" s="11" t="str">
        <f aca="false">IF(B175="Surry Hills","Inner",IF(B175="Strathfield","Middle",IF(B175="Campbelltown","Outer","")))</f>
        <v>Outer</v>
      </c>
      <c r="D175" s="11" t="s">
        <v>549</v>
      </c>
      <c r="E175" s="12" t="n">
        <v>527500</v>
      </c>
      <c r="F175" s="11" t="s">
        <v>226</v>
      </c>
      <c r="G175" s="11" t="s">
        <v>61</v>
      </c>
      <c r="H175" s="11" t="n">
        <v>2</v>
      </c>
      <c r="I175" s="11" t="n">
        <v>2</v>
      </c>
      <c r="J175" s="11" t="n">
        <v>1</v>
      </c>
      <c r="K175" s="13"/>
      <c r="L175" s="13" t="n">
        <v>90</v>
      </c>
      <c r="M175" s="14" t="n">
        <f aca="false">IF(B175="Surry Hills",2.5,IF(B175="Strathfield",14,IF(B175="Campbelltown",54,"")))</f>
        <v>54</v>
      </c>
      <c r="N175" s="11"/>
      <c r="O175" s="11"/>
      <c r="P175" s="11" t="s">
        <v>71</v>
      </c>
      <c r="Q175" s="11"/>
    </row>
    <row r="176" customFormat="false" ht="15" hidden="false" customHeight="true" outlineLevel="0" collapsed="false">
      <c r="A176" s="11" t="s">
        <v>550</v>
      </c>
      <c r="B176" s="11" t="s">
        <v>415</v>
      </c>
      <c r="C176" s="11" t="str">
        <f aca="false">IF(B176="Surry Hills","Inner",IF(B176="Strathfield","Middle",IF(B176="Campbelltown","Outer","")))</f>
        <v>Outer</v>
      </c>
      <c r="D176" s="11" t="s">
        <v>551</v>
      </c>
      <c r="E176" s="12" t="n">
        <v>1480000</v>
      </c>
      <c r="F176" s="11" t="s">
        <v>229</v>
      </c>
      <c r="G176" s="11" t="s">
        <v>81</v>
      </c>
      <c r="H176" s="11" t="n">
        <v>6</v>
      </c>
      <c r="I176" s="11" t="n">
        <v>3</v>
      </c>
      <c r="J176" s="11" t="n">
        <v>2</v>
      </c>
      <c r="K176" s="13" t="n">
        <v>618</v>
      </c>
      <c r="L176" s="13"/>
      <c r="M176" s="14" t="n">
        <f aca="false">IF(B176="Surry Hills",2.5,IF(B176="Strathfield",14,IF(B176="Campbelltown",54,"")))</f>
        <v>54</v>
      </c>
      <c r="N176" s="11"/>
      <c r="O176" s="11"/>
      <c r="P176" s="11" t="s">
        <v>82</v>
      </c>
      <c r="Q176" s="11"/>
    </row>
    <row r="177" customFormat="false" ht="15" hidden="false" customHeight="true" outlineLevel="0" collapsed="false">
      <c r="A177" s="11" t="s">
        <v>552</v>
      </c>
      <c r="B177" s="11" t="s">
        <v>415</v>
      </c>
      <c r="C177" s="11" t="str">
        <f aca="false">IF(B177="Surry Hills","Inner",IF(B177="Strathfield","Middle",IF(B177="Campbelltown","Outer","")))</f>
        <v>Outer</v>
      </c>
      <c r="D177" s="11" t="s">
        <v>553</v>
      </c>
      <c r="E177" s="12" t="n">
        <v>927000</v>
      </c>
      <c r="F177" s="11" t="s">
        <v>229</v>
      </c>
      <c r="G177" s="11" t="s">
        <v>81</v>
      </c>
      <c r="H177" s="11" t="n">
        <v>3</v>
      </c>
      <c r="I177" s="11" t="n">
        <v>1</v>
      </c>
      <c r="J177" s="11" t="n">
        <v>1</v>
      </c>
      <c r="K177" s="13" t="n">
        <v>566</v>
      </c>
      <c r="L177" s="13"/>
      <c r="M177" s="14" t="n">
        <f aca="false">IF(B177="Surry Hills",2.5,IF(B177="Strathfield",14,IF(B177="Campbelltown",54,"")))</f>
        <v>54</v>
      </c>
      <c r="N177" s="11"/>
      <c r="O177" s="11"/>
      <c r="P177" s="11" t="s">
        <v>82</v>
      </c>
      <c r="Q177" s="11"/>
    </row>
    <row r="178" customFormat="false" ht="15" hidden="false" customHeight="true" outlineLevel="0" collapsed="false">
      <c r="A178" s="11" t="s">
        <v>554</v>
      </c>
      <c r="B178" s="11" t="s">
        <v>415</v>
      </c>
      <c r="C178" s="11" t="str">
        <f aca="false">IF(B178="Surry Hills","Inner",IF(B178="Strathfield","Middle",IF(B178="Campbelltown","Outer","")))</f>
        <v>Outer</v>
      </c>
      <c r="D178" s="11" t="s">
        <v>555</v>
      </c>
      <c r="E178" s="12" t="n">
        <v>660000</v>
      </c>
      <c r="F178" s="11" t="s">
        <v>235</v>
      </c>
      <c r="G178" s="11" t="s">
        <v>61</v>
      </c>
      <c r="H178" s="11" t="n">
        <v>3</v>
      </c>
      <c r="I178" s="11" t="n">
        <v>2</v>
      </c>
      <c r="J178" s="11" t="n">
        <v>2</v>
      </c>
      <c r="K178" s="13"/>
      <c r="L178" s="13" t="n">
        <v>142</v>
      </c>
      <c r="M178" s="14" t="n">
        <f aca="false">IF(B178="Surry Hills",2.5,IF(B178="Strathfield",14,IF(B178="Campbelltown",54,"")))</f>
        <v>54</v>
      </c>
      <c r="N178" s="11"/>
      <c r="O178" s="11"/>
      <c r="P178" s="11" t="s">
        <v>349</v>
      </c>
      <c r="Q178" s="11"/>
    </row>
    <row r="179" customFormat="false" ht="15" hidden="false" customHeight="true" outlineLevel="0" collapsed="false">
      <c r="A179" s="11" t="s">
        <v>556</v>
      </c>
      <c r="B179" s="11" t="s">
        <v>415</v>
      </c>
      <c r="C179" s="11" t="str">
        <f aca="false">IF(B179="Surry Hills","Inner",IF(B179="Strathfield","Middle",IF(B179="Campbelltown","Outer","")))</f>
        <v>Outer</v>
      </c>
      <c r="D179" s="11" t="s">
        <v>557</v>
      </c>
      <c r="E179" s="12" t="n">
        <v>1261000</v>
      </c>
      <c r="F179" s="11" t="s">
        <v>558</v>
      </c>
      <c r="G179" s="11" t="s">
        <v>81</v>
      </c>
      <c r="H179" s="11" t="n">
        <v>4</v>
      </c>
      <c r="I179" s="11" t="n">
        <v>2</v>
      </c>
      <c r="J179" s="11" t="n">
        <v>2</v>
      </c>
      <c r="K179" s="13" t="n">
        <v>721</v>
      </c>
      <c r="L179" s="13"/>
      <c r="M179" s="14" t="n">
        <f aca="false">IF(B179="Surry Hills",2.5,IF(B179="Strathfield",14,IF(B179="Campbelltown",54,"")))</f>
        <v>54</v>
      </c>
      <c r="N179" s="11"/>
      <c r="O179" s="11"/>
      <c r="P179" s="11" t="s">
        <v>82</v>
      </c>
      <c r="Q179" s="11"/>
    </row>
    <row r="180" customFormat="false" ht="15" hidden="false" customHeight="true" outlineLevel="0" collapsed="false">
      <c r="A180" s="11" t="s">
        <v>559</v>
      </c>
      <c r="B180" s="11" t="s">
        <v>415</v>
      </c>
      <c r="C180" s="11" t="str">
        <f aca="false">IF(B180="Surry Hills","Inner",IF(B180="Strathfield","Middle",IF(B180="Campbelltown","Outer","")))</f>
        <v>Outer</v>
      </c>
      <c r="D180" s="11" t="s">
        <v>560</v>
      </c>
      <c r="E180" s="12" t="n">
        <v>675000</v>
      </c>
      <c r="F180" s="11" t="s">
        <v>561</v>
      </c>
      <c r="G180" s="11" t="s">
        <v>61</v>
      </c>
      <c r="H180" s="11" t="n">
        <v>2</v>
      </c>
      <c r="I180" s="11" t="n">
        <v>1</v>
      </c>
      <c r="J180" s="11" t="n">
        <v>1</v>
      </c>
      <c r="K180" s="13"/>
      <c r="L180" s="13" t="n">
        <v>174</v>
      </c>
      <c r="M180" s="14" t="n">
        <f aca="false">IF(B180="Surry Hills",2.5,IF(B180="Strathfield",14,IF(B180="Campbelltown",54,"")))</f>
        <v>54</v>
      </c>
      <c r="N180" s="11"/>
      <c r="O180" s="11"/>
      <c r="P180" s="11" t="s">
        <v>349</v>
      </c>
      <c r="Q180" s="11"/>
    </row>
    <row r="181" customFormat="false" ht="15" hidden="false" customHeight="true" outlineLevel="0" collapsed="false">
      <c r="A181" s="11" t="s">
        <v>562</v>
      </c>
      <c r="B181" s="11" t="s">
        <v>415</v>
      </c>
      <c r="C181" s="11" t="str">
        <f aca="false">IF(B181="Surry Hills","Inner",IF(B181="Strathfield","Middle",IF(B181="Campbelltown","Outer","")))</f>
        <v>Outer</v>
      </c>
      <c r="D181" s="11" t="s">
        <v>563</v>
      </c>
      <c r="E181" s="12" t="n">
        <v>925000</v>
      </c>
      <c r="F181" s="11" t="s">
        <v>241</v>
      </c>
      <c r="G181" s="11" t="s">
        <v>81</v>
      </c>
      <c r="H181" s="11" t="n">
        <v>4</v>
      </c>
      <c r="I181" s="11" t="n">
        <v>1</v>
      </c>
      <c r="J181" s="11" t="n">
        <v>4</v>
      </c>
      <c r="K181" s="13" t="n">
        <v>556</v>
      </c>
      <c r="L181" s="13"/>
      <c r="M181" s="14" t="n">
        <f aca="false">IF(B181="Surry Hills",2.5,IF(B181="Strathfield",14,IF(B181="Campbelltown",54,"")))</f>
        <v>54</v>
      </c>
      <c r="N181" s="11"/>
      <c r="O181" s="11"/>
      <c r="P181" s="11" t="s">
        <v>82</v>
      </c>
      <c r="Q181" s="11"/>
    </row>
    <row r="182" customFormat="false" ht="15" hidden="false" customHeight="true" outlineLevel="0" collapsed="false">
      <c r="A182" s="11" t="s">
        <v>564</v>
      </c>
      <c r="B182" s="11" t="s">
        <v>415</v>
      </c>
      <c r="C182" s="11" t="str">
        <f aca="false">IF(B182="Surry Hills","Inner",IF(B182="Strathfield","Middle",IF(B182="Campbelltown","Outer","")))</f>
        <v>Outer</v>
      </c>
      <c r="D182" s="11" t="s">
        <v>565</v>
      </c>
      <c r="E182" s="12" t="n">
        <v>690000</v>
      </c>
      <c r="F182" s="11" t="s">
        <v>244</v>
      </c>
      <c r="G182" s="11" t="s">
        <v>61</v>
      </c>
      <c r="H182" s="11" t="n">
        <v>3</v>
      </c>
      <c r="I182" s="11" t="n">
        <v>2</v>
      </c>
      <c r="J182" s="11" t="n">
        <v>2</v>
      </c>
      <c r="K182" s="13"/>
      <c r="L182" s="13" t="n">
        <v>160</v>
      </c>
      <c r="M182" s="14" t="n">
        <f aca="false">IF(B182="Surry Hills",2.5,IF(B182="Strathfield",14,IF(B182="Campbelltown",54,"")))</f>
        <v>54</v>
      </c>
      <c r="N182" s="11"/>
      <c r="O182" s="11"/>
      <c r="P182" s="11" t="s">
        <v>349</v>
      </c>
      <c r="Q182" s="11"/>
    </row>
    <row r="183" customFormat="false" ht="15" hidden="false" customHeight="true" outlineLevel="0" collapsed="false">
      <c r="A183" s="11" t="s">
        <v>566</v>
      </c>
      <c r="B183" s="11" t="s">
        <v>415</v>
      </c>
      <c r="C183" s="11" t="str">
        <f aca="false">IF(B183="Surry Hills","Inner",IF(B183="Strathfield","Middle",IF(B183="Campbelltown","Outer","")))</f>
        <v>Outer</v>
      </c>
      <c r="D183" s="11" t="s">
        <v>567</v>
      </c>
      <c r="E183" s="12" t="n">
        <v>995000</v>
      </c>
      <c r="F183" s="11" t="s">
        <v>568</v>
      </c>
      <c r="G183" s="11" t="s">
        <v>81</v>
      </c>
      <c r="H183" s="11" t="n">
        <v>4</v>
      </c>
      <c r="I183" s="11" t="n">
        <v>2</v>
      </c>
      <c r="J183" s="11" t="n">
        <v>1</v>
      </c>
      <c r="K183" s="13" t="n">
        <v>562.8</v>
      </c>
      <c r="L183" s="13"/>
      <c r="M183" s="14" t="n">
        <f aca="false">IF(B183="Surry Hills",2.5,IF(B183="Strathfield",14,IF(B183="Campbelltown",54,"")))</f>
        <v>54</v>
      </c>
      <c r="N183" s="11"/>
      <c r="O183" s="11"/>
      <c r="P183" s="11" t="s">
        <v>82</v>
      </c>
      <c r="Q183" s="11"/>
    </row>
    <row r="184" customFormat="false" ht="15" hidden="false" customHeight="true" outlineLevel="0" collapsed="false">
      <c r="A184" s="11"/>
      <c r="B184" s="11"/>
      <c r="C184" s="11" t="str">
        <f aca="false">IF(B184="Surry Hills","Inner",IF(B184="Strathfield","Middle",IF(B184="Campbelltown","Outer","")))</f>
        <v/>
      </c>
      <c r="D184" s="11"/>
      <c r="E184" s="15"/>
      <c r="F184" s="11"/>
      <c r="G184" s="11"/>
      <c r="H184" s="11"/>
      <c r="I184" s="11"/>
      <c r="J184" s="11"/>
      <c r="K184" s="13"/>
      <c r="L184" s="13"/>
      <c r="M184" s="14" t="str">
        <f aca="false">IF(B184="Surry Hills",2.5,IF(B184="Strathfield",14,IF(B184="Campbelltown",54,"")))</f>
        <v/>
      </c>
      <c r="N184" s="11"/>
      <c r="O184" s="11"/>
      <c r="P184" s="11"/>
      <c r="Q184" s="11"/>
    </row>
    <row r="185" customFormat="false" ht="15" hidden="false" customHeight="true" outlineLevel="0" collapsed="false">
      <c r="A185" s="11"/>
      <c r="B185" s="11"/>
      <c r="C185" s="11" t="str">
        <f aca="false">IF(B185="Surry Hills","Inner",IF(B185="Strathfield","Middle",IF(B185="Campbelltown","Outer","")))</f>
        <v/>
      </c>
      <c r="D185" s="11"/>
      <c r="E185" s="15"/>
      <c r="F185" s="11"/>
      <c r="G185" s="11"/>
      <c r="H185" s="11"/>
      <c r="I185" s="11"/>
      <c r="J185" s="11"/>
      <c r="K185" s="13"/>
      <c r="L185" s="13"/>
      <c r="M185" s="14" t="str">
        <f aca="false">IF(B185="Surry Hills",2.5,IF(B185="Strathfield",14,IF(B185="Campbelltown",54,"")))</f>
        <v/>
      </c>
      <c r="N185" s="11"/>
      <c r="O185" s="11"/>
      <c r="P185" s="11"/>
      <c r="Q185" s="11"/>
    </row>
    <row r="186" customFormat="false" ht="15" hidden="false" customHeight="true" outlineLevel="0" collapsed="false">
      <c r="A186" s="11"/>
      <c r="B186" s="11"/>
      <c r="C186" s="11" t="str">
        <f aca="false">IF(B186="Surry Hills","Inner",IF(B186="Strathfield","Middle",IF(B186="Campbelltown","Outer","")))</f>
        <v/>
      </c>
      <c r="D186" s="11"/>
      <c r="E186" s="15"/>
      <c r="F186" s="11"/>
      <c r="G186" s="11"/>
      <c r="H186" s="11"/>
      <c r="I186" s="11"/>
      <c r="J186" s="11"/>
      <c r="K186" s="13"/>
      <c r="L186" s="13"/>
      <c r="M186" s="14" t="str">
        <f aca="false">IF(B186="Surry Hills",2.5,IF(B186="Strathfield",14,IF(B186="Campbelltown",54,"")))</f>
        <v/>
      </c>
      <c r="N186" s="11"/>
      <c r="O186" s="11"/>
      <c r="P186" s="11"/>
      <c r="Q186" s="11"/>
    </row>
    <row r="187" customFormat="false" ht="15" hidden="false" customHeight="true" outlineLevel="0" collapsed="false">
      <c r="A187" s="11"/>
      <c r="B187" s="11"/>
      <c r="C187" s="11" t="str">
        <f aca="false">IF(B187="Surry Hills","Inner",IF(B187="Strathfield","Middle",IF(B187="Campbelltown","Outer","")))</f>
        <v/>
      </c>
      <c r="D187" s="11"/>
      <c r="E187" s="15"/>
      <c r="F187" s="11"/>
      <c r="G187" s="11"/>
      <c r="H187" s="11"/>
      <c r="I187" s="11"/>
      <c r="J187" s="11"/>
      <c r="K187" s="13"/>
      <c r="L187" s="13"/>
      <c r="M187" s="14" t="str">
        <f aca="false">IF(B187="Surry Hills",2.5,IF(B187="Strathfield",14,IF(B187="Campbelltown",54,"")))</f>
        <v/>
      </c>
      <c r="N187" s="11"/>
      <c r="O187" s="11"/>
      <c r="P187" s="11"/>
      <c r="Q187" s="11"/>
    </row>
    <row r="188" customFormat="false" ht="15" hidden="false" customHeight="true" outlineLevel="0" collapsed="false">
      <c r="A188" s="11"/>
      <c r="B188" s="11"/>
      <c r="C188" s="11" t="str">
        <f aca="false">IF(B188="Surry Hills","Inner",IF(B188="Strathfield","Middle",IF(B188="Campbelltown","Outer","")))</f>
        <v/>
      </c>
      <c r="D188" s="11"/>
      <c r="E188" s="15"/>
      <c r="F188" s="11"/>
      <c r="G188" s="11"/>
      <c r="H188" s="11"/>
      <c r="I188" s="11"/>
      <c r="J188" s="11"/>
      <c r="K188" s="13"/>
      <c r="L188" s="13"/>
      <c r="M188" s="14" t="str">
        <f aca="false">IF(B188="Surry Hills",2.5,IF(B188="Strathfield",14,IF(B188="Campbelltown",54,"")))</f>
        <v/>
      </c>
      <c r="N188" s="11"/>
      <c r="O188" s="11"/>
      <c r="P188" s="11"/>
      <c r="Q188" s="11"/>
    </row>
    <row r="189" customFormat="false" ht="15" hidden="false" customHeight="true" outlineLevel="0" collapsed="false">
      <c r="A189" s="11"/>
      <c r="B189" s="11"/>
      <c r="C189" s="11" t="str">
        <f aca="false">IF(B189="Surry Hills","Inner",IF(B189="Strathfield","Middle",IF(B189="Campbelltown","Outer","")))</f>
        <v/>
      </c>
      <c r="D189" s="11"/>
      <c r="E189" s="15"/>
      <c r="F189" s="11"/>
      <c r="G189" s="11"/>
      <c r="H189" s="11"/>
      <c r="I189" s="11"/>
      <c r="J189" s="11"/>
      <c r="K189" s="13"/>
      <c r="L189" s="13"/>
      <c r="M189" s="14" t="str">
        <f aca="false">IF(B189="Surry Hills",2.5,IF(B189="Strathfield",14,IF(B189="Campbelltown",54,"")))</f>
        <v/>
      </c>
      <c r="N189" s="11"/>
      <c r="O189" s="11"/>
      <c r="P189" s="11"/>
      <c r="Q189" s="11"/>
    </row>
    <row r="190" customFormat="false" ht="15" hidden="false" customHeight="true" outlineLevel="0" collapsed="false">
      <c r="A190" s="11"/>
      <c r="B190" s="11"/>
      <c r="C190" s="11" t="str">
        <f aca="false">IF(B190="Surry Hills","Inner",IF(B190="Strathfield","Middle",IF(B190="Campbelltown","Outer","")))</f>
        <v/>
      </c>
      <c r="D190" s="11"/>
      <c r="E190" s="15"/>
      <c r="F190" s="11"/>
      <c r="G190" s="11"/>
      <c r="H190" s="11"/>
      <c r="I190" s="11"/>
      <c r="J190" s="11"/>
      <c r="K190" s="13"/>
      <c r="L190" s="13"/>
      <c r="M190" s="14" t="str">
        <f aca="false">IF(B190="Surry Hills",2.5,IF(B190="Strathfield",14,IF(B190="Campbelltown",54,"")))</f>
        <v/>
      </c>
      <c r="N190" s="11"/>
      <c r="O190" s="11"/>
      <c r="P190" s="11"/>
      <c r="Q190" s="11"/>
    </row>
    <row r="191" customFormat="false" ht="15" hidden="false" customHeight="true" outlineLevel="0" collapsed="false">
      <c r="A191" s="11"/>
      <c r="B191" s="11"/>
      <c r="C191" s="11" t="str">
        <f aca="false">IF(B191="Surry Hills","Inner",IF(B191="Strathfield","Middle",IF(B191="Campbelltown","Outer","")))</f>
        <v/>
      </c>
      <c r="D191" s="11"/>
      <c r="E191" s="15"/>
      <c r="F191" s="11"/>
      <c r="G191" s="11"/>
      <c r="H191" s="11"/>
      <c r="I191" s="11"/>
      <c r="J191" s="11"/>
      <c r="K191" s="13"/>
      <c r="L191" s="13"/>
      <c r="M191" s="14" t="str">
        <f aca="false">IF(B191="Surry Hills",2.5,IF(B191="Strathfield",14,IF(B191="Campbelltown",54,"")))</f>
        <v/>
      </c>
      <c r="N191" s="11"/>
      <c r="O191" s="11"/>
      <c r="P191" s="11"/>
      <c r="Q191" s="11"/>
    </row>
    <row r="192" customFormat="false" ht="15" hidden="false" customHeight="true" outlineLevel="0" collapsed="false">
      <c r="A192" s="11"/>
      <c r="B192" s="11"/>
      <c r="C192" s="11" t="str">
        <f aca="false">IF(B192="Surry Hills","Inner",IF(B192="Strathfield","Middle",IF(B192="Campbelltown","Outer","")))</f>
        <v/>
      </c>
      <c r="D192" s="11"/>
      <c r="E192" s="15"/>
      <c r="F192" s="11"/>
      <c r="G192" s="11"/>
      <c r="H192" s="11"/>
      <c r="I192" s="11"/>
      <c r="J192" s="11"/>
      <c r="K192" s="13"/>
      <c r="L192" s="13"/>
      <c r="M192" s="14" t="str">
        <f aca="false">IF(B192="Surry Hills",2.5,IF(B192="Strathfield",14,IF(B192="Campbelltown",54,"")))</f>
        <v/>
      </c>
      <c r="N192" s="11"/>
      <c r="O192" s="11"/>
      <c r="P192" s="11"/>
      <c r="Q192" s="11"/>
    </row>
    <row r="193" customFormat="false" ht="15" hidden="false" customHeight="true" outlineLevel="0" collapsed="false">
      <c r="A193" s="11"/>
      <c r="B193" s="11"/>
      <c r="C193" s="11" t="str">
        <f aca="false">IF(B193="Surry Hills","Inner",IF(B193="Strathfield","Middle",IF(B193="Campbelltown","Outer","")))</f>
        <v/>
      </c>
      <c r="D193" s="11"/>
      <c r="E193" s="15"/>
      <c r="F193" s="11"/>
      <c r="G193" s="11"/>
      <c r="H193" s="11"/>
      <c r="I193" s="11"/>
      <c r="J193" s="11"/>
      <c r="K193" s="13"/>
      <c r="L193" s="13"/>
      <c r="M193" s="14" t="str">
        <f aca="false">IF(B193="Surry Hills",2.5,IF(B193="Strathfield",14,IF(B193="Campbelltown",54,"")))</f>
        <v/>
      </c>
      <c r="N193" s="11"/>
      <c r="O193" s="11"/>
      <c r="P193" s="11"/>
      <c r="Q193" s="11"/>
    </row>
    <row r="194" customFormat="false" ht="15" hidden="false" customHeight="true" outlineLevel="0" collapsed="false">
      <c r="A194" s="11"/>
      <c r="B194" s="11"/>
      <c r="C194" s="11" t="str">
        <f aca="false">IF(B194="Surry Hills","Inner",IF(B194="Strathfield","Middle",IF(B194="Campbelltown","Outer","")))</f>
        <v/>
      </c>
      <c r="D194" s="11"/>
      <c r="E194" s="15"/>
      <c r="F194" s="11"/>
      <c r="G194" s="11"/>
      <c r="H194" s="11"/>
      <c r="I194" s="11"/>
      <c r="J194" s="11"/>
      <c r="K194" s="13"/>
      <c r="L194" s="13"/>
      <c r="M194" s="14" t="str">
        <f aca="false">IF(B194="Surry Hills",2.5,IF(B194="Strathfield",14,IF(B194="Campbelltown",54,"")))</f>
        <v/>
      </c>
      <c r="N194" s="11"/>
      <c r="O194" s="11"/>
      <c r="P194" s="11"/>
      <c r="Q194" s="11"/>
    </row>
    <row r="195" customFormat="false" ht="15" hidden="false" customHeight="true" outlineLevel="0" collapsed="false">
      <c r="A195" s="11"/>
      <c r="B195" s="11"/>
      <c r="C195" s="11" t="str">
        <f aca="false">IF(B195="Surry Hills","Inner",IF(B195="Strathfield","Middle",IF(B195="Campbelltown","Outer","")))</f>
        <v/>
      </c>
      <c r="D195" s="11"/>
      <c r="E195" s="15"/>
      <c r="F195" s="11"/>
      <c r="G195" s="11"/>
      <c r="H195" s="11"/>
      <c r="I195" s="11"/>
      <c r="J195" s="11"/>
      <c r="K195" s="13"/>
      <c r="L195" s="13"/>
      <c r="M195" s="14" t="str">
        <f aca="false">IF(B195="Surry Hills",2.5,IF(B195="Strathfield",14,IF(B195="Campbelltown",54,"")))</f>
        <v/>
      </c>
      <c r="N195" s="11"/>
      <c r="O195" s="11"/>
      <c r="P195" s="11"/>
      <c r="Q195" s="11"/>
    </row>
    <row r="196" customFormat="false" ht="15" hidden="false" customHeight="true" outlineLevel="0" collapsed="false">
      <c r="A196" s="11"/>
      <c r="B196" s="11"/>
      <c r="C196" s="11" t="str">
        <f aca="false">IF(B196="Surry Hills","Inner",IF(B196="Strathfield","Middle",IF(B196="Campbelltown","Outer","")))</f>
        <v/>
      </c>
      <c r="D196" s="11"/>
      <c r="E196" s="15"/>
      <c r="F196" s="11"/>
      <c r="G196" s="11"/>
      <c r="H196" s="11"/>
      <c r="I196" s="11"/>
      <c r="J196" s="11"/>
      <c r="K196" s="13"/>
      <c r="L196" s="13"/>
      <c r="M196" s="14" t="str">
        <f aca="false">IF(B196="Surry Hills",2.5,IF(B196="Strathfield",14,IF(B196="Campbelltown",54,"")))</f>
        <v/>
      </c>
      <c r="N196" s="11"/>
      <c r="O196" s="11"/>
      <c r="P196" s="11"/>
      <c r="Q196" s="11"/>
    </row>
    <row r="197" customFormat="false" ht="15" hidden="false" customHeight="true" outlineLevel="0" collapsed="false">
      <c r="A197" s="11"/>
      <c r="B197" s="11"/>
      <c r="C197" s="11" t="str">
        <f aca="false">IF(B197="Surry Hills","Inner",IF(B197="Strathfield","Middle",IF(B197="Campbelltown","Outer","")))</f>
        <v/>
      </c>
      <c r="D197" s="11"/>
      <c r="E197" s="15"/>
      <c r="F197" s="11"/>
      <c r="G197" s="11"/>
      <c r="H197" s="11"/>
      <c r="I197" s="11"/>
      <c r="J197" s="11"/>
      <c r="K197" s="13"/>
      <c r="L197" s="13"/>
      <c r="M197" s="14" t="str">
        <f aca="false">IF(B197="Surry Hills",2.5,IF(B197="Strathfield",14,IF(B197="Campbelltown",54,"")))</f>
        <v/>
      </c>
      <c r="N197" s="11"/>
      <c r="O197" s="11"/>
      <c r="P197" s="11"/>
      <c r="Q197" s="11"/>
    </row>
    <row r="198" customFormat="false" ht="15" hidden="false" customHeight="true" outlineLevel="0" collapsed="false">
      <c r="A198" s="11"/>
      <c r="B198" s="11"/>
      <c r="C198" s="11" t="str">
        <f aca="false">IF(B198="Surry Hills","Inner",IF(B198="Strathfield","Middle",IF(B198="Campbelltown","Outer","")))</f>
        <v/>
      </c>
      <c r="D198" s="11"/>
      <c r="E198" s="15"/>
      <c r="F198" s="11"/>
      <c r="G198" s="11"/>
      <c r="H198" s="11"/>
      <c r="I198" s="11"/>
      <c r="J198" s="11"/>
      <c r="K198" s="13"/>
      <c r="L198" s="13"/>
      <c r="M198" s="14" t="str">
        <f aca="false">IF(B198="Surry Hills",2.5,IF(B198="Strathfield",14,IF(B198="Campbelltown",54,"")))</f>
        <v/>
      </c>
      <c r="N198" s="11"/>
      <c r="O198" s="11"/>
      <c r="P198" s="11"/>
      <c r="Q198" s="11"/>
    </row>
    <row r="199" customFormat="false" ht="15" hidden="false" customHeight="true" outlineLevel="0" collapsed="false">
      <c r="A199" s="11"/>
      <c r="B199" s="11"/>
      <c r="C199" s="11" t="str">
        <f aca="false">IF(B199="Surry Hills","Inner",IF(B199="Strathfield","Middle",IF(B199="Campbelltown","Outer","")))</f>
        <v/>
      </c>
      <c r="D199" s="11"/>
      <c r="E199" s="15"/>
      <c r="F199" s="11"/>
      <c r="G199" s="11"/>
      <c r="H199" s="11"/>
      <c r="I199" s="11"/>
      <c r="J199" s="11"/>
      <c r="K199" s="13"/>
      <c r="L199" s="13"/>
      <c r="M199" s="14" t="str">
        <f aca="false">IF(B199="Surry Hills",2.5,IF(B199="Strathfield",14,IF(B199="Campbelltown",54,"")))</f>
        <v/>
      </c>
      <c r="N199" s="11"/>
      <c r="O199" s="11"/>
      <c r="P199" s="11"/>
      <c r="Q199" s="11"/>
    </row>
    <row r="200" customFormat="false" ht="15" hidden="false" customHeight="true" outlineLevel="0" collapsed="false">
      <c r="A200" s="11"/>
      <c r="B200" s="11"/>
      <c r="C200" s="11" t="str">
        <f aca="false">IF(B200="Surry Hills","Inner",IF(B200="Strathfield","Middle",IF(B200="Campbelltown","Outer","")))</f>
        <v/>
      </c>
      <c r="D200" s="11"/>
      <c r="E200" s="15"/>
      <c r="F200" s="11"/>
      <c r="G200" s="11"/>
      <c r="H200" s="11"/>
      <c r="I200" s="11"/>
      <c r="J200" s="11"/>
      <c r="K200" s="13"/>
      <c r="L200" s="13"/>
      <c r="M200" s="14" t="str">
        <f aca="false">IF(B200="Surry Hills",2.5,IF(B200="Strathfield",14,IF(B200="Campbelltown",54,"")))</f>
        <v/>
      </c>
      <c r="N200" s="11"/>
      <c r="O200" s="11"/>
      <c r="P200" s="11"/>
      <c r="Q200" s="11"/>
    </row>
  </sheetData>
  <dataValidations count="2">
    <dataValidation allowBlank="true" errorStyle="stop" operator="between" showDropDown="false" showErrorMessage="false" showInputMessage="false" sqref="B4:B200" type="list">
      <formula1>"Surry Hills,Strathfield,Campbelltown"</formula1>
      <formula2>0</formula2>
    </dataValidation>
    <dataValidation allowBlank="true" errorStyle="stop" operator="between" showDropDown="false" showErrorMessage="false" showInputMessage="false" sqref="G4:G200" type="list">
      <formula1>"House,Unit,Townhouse,Semi/Terrace,Villa"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18"/>
  </cols>
  <sheetData>
    <row r="1" customFormat="false" ht="15" hidden="false" customHeight="true" outlineLevel="0" collapsed="false">
      <c r="A1" s="16" t="s">
        <v>569</v>
      </c>
      <c r="B1" s="16" t="s">
        <v>570</v>
      </c>
      <c r="C1" s="16" t="s">
        <v>571</v>
      </c>
    </row>
    <row r="2" customFormat="false" ht="15" hidden="false" customHeight="true" outlineLevel="0" collapsed="false">
      <c r="A2" s="11" t="s">
        <v>58</v>
      </c>
      <c r="B2" s="11" t="n">
        <f aca="false">COUNTIF(Data!$B$4:$B$200,A2)</f>
        <v>60</v>
      </c>
      <c r="C2" s="11" t="n">
        <v>30</v>
      </c>
    </row>
    <row r="3" customFormat="false" ht="15" hidden="false" customHeight="true" outlineLevel="0" collapsed="false">
      <c r="A3" s="11" t="s">
        <v>249</v>
      </c>
      <c r="B3" s="11" t="n">
        <f aca="false">COUNTIF(Data!$B$4:$B$200,A3)</f>
        <v>60</v>
      </c>
      <c r="C3" s="11" t="n">
        <v>30</v>
      </c>
    </row>
    <row r="4" customFormat="false" ht="15" hidden="false" customHeight="true" outlineLevel="0" collapsed="false">
      <c r="A4" s="11" t="s">
        <v>415</v>
      </c>
      <c r="B4" s="11" t="n">
        <f aca="false">COUNTIF(Data!$B$4:$B$200,A4)</f>
        <v>60</v>
      </c>
      <c r="C4" s="11" t="n">
        <v>30</v>
      </c>
    </row>
    <row r="5" customFormat="false" ht="15" hidden="false" customHeight="true" outlineLevel="0" collapsed="false">
      <c r="A5" s="17" t="s">
        <v>572</v>
      </c>
      <c r="B5" s="17" t="n">
        <f aca="false">SUM(B2:B4)</f>
        <v>180</v>
      </c>
      <c r="C5" s="17" t="n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2026-08-16T16:11:58Z</dcterms:created>
  <dc:creator>openpyxl</dc:creator>
  <dc:description/>
  <dc:language>en-US</dc:language>
  <cp:lastModifiedBy/>
  <dcterms:modified xsi:type="dcterms:W3CDTF">2026-08-17T11:34:22Z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